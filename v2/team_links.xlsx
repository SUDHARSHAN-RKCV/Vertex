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dnch\Documents\sdnch\scipher-ops\codes\prod-apps\vertex\v2\"/>
    </mc:Choice>
  </mc:AlternateContent>
  <xr:revisionPtr revIDLastSave="0" documentId="13_ncr:1_{97BAD1AC-272A-4D82-8C5F-3A9E1BB64A50}" xr6:coauthVersionLast="47" xr6:coauthVersionMax="47" xr10:uidLastSave="{00000000-0000-0000-0000-000000000000}"/>
  <bookViews>
    <workbookView xWindow="-120" yWindow="-120" windowWidth="51840" windowHeight="21120" tabRatio="500" activeTab="3" xr2:uid="{00000000-000D-0000-FFFF-FFFF00000000}"/>
  </bookViews>
  <sheets>
    <sheet name="index" sheetId="1" r:id="rId1"/>
    <sheet name="l1_ops" sheetId="2" r:id="rId2"/>
    <sheet name="soc" sheetId="11" r:id="rId3"/>
    <sheet name="admin" sheetId="4" r:id="rId4"/>
  </sheets>
  <definedNames>
    <definedName name="_xlnm._FilterDatabase" localSheetId="0" hidden="1">index!$A$1:$H$12</definedName>
    <definedName name="_xlnm._FilterDatabase" localSheetId="1" hidden="1">l1_ops!$A$1:$F$19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1" l="1"/>
  <c r="F2" i="4"/>
  <c r="F6" i="2"/>
  <c r="F5" i="2"/>
  <c r="F4" i="2"/>
  <c r="F3" i="2"/>
  <c r="F2" i="2"/>
</calcChain>
</file>

<file path=xl/sharedStrings.xml><?xml version="1.0" encoding="utf-8"?>
<sst xmlns="http://schemas.openxmlformats.org/spreadsheetml/2006/main" count="76" uniqueCount="34">
  <si>
    <t>Team / Title</t>
  </si>
  <si>
    <t>URL</t>
  </si>
  <si>
    <t>Icon</t>
  </si>
  <si>
    <t>Team</t>
  </si>
  <si>
    <t>category</t>
  </si>
  <si>
    <t>is_public</t>
  </si>
  <si>
    <t>preview</t>
  </si>
  <si>
    <t>description</t>
  </si>
  <si>
    <t>SOC-ops</t>
  </si>
  <si>
    <t>soc</t>
  </si>
  <si>
    <t>Scipher Sec-Ops</t>
  </si>
  <si>
    <t>L1- ops</t>
  </si>
  <si>
    <t>L1-ops</t>
  </si>
  <si>
    <t>l1</t>
  </si>
  <si>
    <t>Scipher - L1</t>
  </si>
  <si>
    <t>default</t>
  </si>
  <si>
    <t>User Event Log</t>
  </si>
  <si>
    <t>aws</t>
  </si>
  <si>
    <t>L1_ops</t>
  </si>
  <si>
    <t>Datadog(Kafka)</t>
  </si>
  <si>
    <t>Datadog</t>
  </si>
  <si>
    <t>Datadog(RX pipeline)</t>
  </si>
  <si>
    <t>Dynatrace(kafka)</t>
  </si>
  <si>
    <t>Dynatrace</t>
  </si>
  <si>
    <t>Dynatrace(Rx pipeline)</t>
  </si>
  <si>
    <t>Admin panel</t>
  </si>
  <si>
    <t>admin</t>
  </si>
  <si>
    <t>https://platform.securityscorecard.io/#/scorecard/scipher.io/company-overview</t>
  </si>
  <si>
    <t>ssc</t>
  </si>
  <si>
    <t>SOC</t>
  </si>
  <si>
    <t>Scorecard</t>
  </si>
  <si>
    <t>https://eu-west-1.signin.aws.amazon.com/</t>
  </si>
  <si>
    <t>https://app.datadoghq.com/dashboard/</t>
  </si>
  <si>
    <t>https://live.dynatrace.com/#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</si>
</sst>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Border="1" applyAlignment="1" applyProtection="1">
      <alignment horizontal="center"/>
    </xf>
    <xf numFmtId="0" fontId="2" fillId="0" borderId="0" xfId="1" applyBorder="1" applyProtection="1"/>
    <xf numFmtId="0" fontId="2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datadoghq.com/dashboard/" TargetMode="External"/><Relationship Id="rId2" Type="http://schemas.openxmlformats.org/officeDocument/2006/relationships/hyperlink" Target="https://app.datadoghq.com/dashboard/" TargetMode="External"/><Relationship Id="rId1" Type="http://schemas.openxmlformats.org/officeDocument/2006/relationships/hyperlink" Target="https://eu-west-1.signin.aws.amazon.com/" TargetMode="External"/><Relationship Id="rId5" Type="http://schemas.openxmlformats.org/officeDocument/2006/relationships/hyperlink" Target="https://live.dynatrace.com/" TargetMode="External"/><Relationship Id="rId4" Type="http://schemas.openxmlformats.org/officeDocument/2006/relationships/hyperlink" Target="https://live.dynatra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latform.securityscorecard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zoomScaleNormal="100" workbookViewId="0">
      <selection activeCell="D9" sqref="D9"/>
    </sheetView>
  </sheetViews>
  <sheetFormatPr defaultColWidth="32.42578125" defaultRowHeight="15" customHeight="1" x14ac:dyDescent="0.25"/>
  <cols>
    <col min="1" max="1" width="11" style="1" customWidth="1"/>
    <col min="2" max="2" width="18.140625" style="1" customWidth="1"/>
    <col min="3" max="3" width="11.42578125" style="1" customWidth="1"/>
    <col min="4" max="4" width="19.42578125" style="1" customWidth="1"/>
    <col min="5" max="16384" width="32.42578125" style="1"/>
  </cols>
  <sheetData>
    <row r="1" spans="1: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x14ac:dyDescent="0.25">
      <c r="A2" s="1" t="s">
        <v>26</v>
      </c>
      <c r="B2" s="1" t="s">
        <v>26</v>
      </c>
      <c r="C2" s="3" t="s">
        <v>15</v>
      </c>
      <c r="D2" s="3" t="s">
        <v>26</v>
      </c>
    </row>
    <row r="3" spans="1:9" x14ac:dyDescent="0.25">
      <c r="A3" s="3" t="s">
        <v>11</v>
      </c>
      <c r="B3" s="1" t="s">
        <v>12</v>
      </c>
      <c r="C3" s="3" t="s">
        <v>13</v>
      </c>
      <c r="D3" s="3" t="s">
        <v>14</v>
      </c>
      <c r="G3" s="4"/>
      <c r="H3" s="3"/>
    </row>
    <row r="4" spans="1:9" x14ac:dyDescent="0.25">
      <c r="A4" s="3" t="s">
        <v>8</v>
      </c>
      <c r="B4" s="1" t="s">
        <v>8</v>
      </c>
      <c r="C4" s="3" t="s">
        <v>9</v>
      </c>
      <c r="D4" s="3" t="s">
        <v>10</v>
      </c>
      <c r="H4" s="3"/>
    </row>
    <row r="5" spans="1:9" x14ac:dyDescent="0.25">
      <c r="C5" s="3"/>
      <c r="D5" s="3"/>
      <c r="G5" s="4"/>
      <c r="H5" s="3"/>
    </row>
    <row r="6" spans="1:9" x14ac:dyDescent="0.25">
      <c r="A6" s="3"/>
      <c r="C6" s="3"/>
      <c r="D6" s="3"/>
    </row>
    <row r="7" spans="1:9" x14ac:dyDescent="0.25"/>
    <row r="8" spans="1:9" x14ac:dyDescent="0.25">
      <c r="A8" s="3"/>
      <c r="C8" s="3"/>
      <c r="D8" s="3"/>
      <c r="H8" s="3"/>
    </row>
    <row r="9" spans="1:9" x14ac:dyDescent="0.25">
      <c r="A9" s="3"/>
      <c r="C9" s="3"/>
      <c r="D9" s="3"/>
      <c r="H9" s="3"/>
    </row>
    <row r="10" spans="1:9" x14ac:dyDescent="0.25">
      <c r="A10" s="3"/>
      <c r="B10" s="3"/>
      <c r="C10" s="3"/>
      <c r="D10" s="3"/>
      <c r="H10" s="3"/>
    </row>
    <row r="11" spans="1:9" x14ac:dyDescent="0.25">
      <c r="A11" s="3"/>
      <c r="C11" s="3"/>
      <c r="D11" s="3"/>
      <c r="H11" s="3"/>
    </row>
    <row r="12" spans="1:9" x14ac:dyDescent="0.25">
      <c r="A12" s="3"/>
      <c r="C12" s="3"/>
      <c r="D12" s="3"/>
      <c r="H12" s="3"/>
    </row>
    <row r="13" spans="1:9" x14ac:dyDescent="0.25">
      <c r="C13" s="3"/>
      <c r="D13" s="3"/>
    </row>
    <row r="14" spans="1:9" x14ac:dyDescent="0.25">
      <c r="C14" s="3"/>
      <c r="D14" s="3"/>
    </row>
    <row r="15" spans="1:9" x14ac:dyDescent="0.25">
      <c r="C15" s="3"/>
      <c r="D15" s="3"/>
    </row>
    <row r="16" spans="1:9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</sheetData>
  <autoFilter ref="A1:H12" xr:uid="{00000000-0001-0000-0000-000000000000}">
    <sortState xmlns:xlrd2="http://schemas.microsoft.com/office/spreadsheetml/2017/richdata2" ref="A2:H12">
      <sortCondition ref="A1:A12"/>
    </sortState>
  </autoFilter>
  <conditionalFormatting sqref="B1">
    <cfRule type="duplicateValues" dxfId="3" priority="2"/>
  </conditionalFormatting>
  <pageMargins left="0.7" right="0.7" top="0.75" bottom="0.75" header="0.511811023622047" footer="0.3"/>
  <pageSetup orientation="portrait" horizontalDpi="300" verticalDpi="300"/>
  <headerFooter>
    <oddFooter>&amp;C_x000D_x000D_&amp;1#&amp;"Aptos"&amp;8&amp;K000000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zoomScaleNormal="100" workbookViewId="0">
      <selection activeCell="B26" sqref="B26"/>
    </sheetView>
  </sheetViews>
  <sheetFormatPr defaultColWidth="8.7109375" defaultRowHeight="15" customHeight="1" x14ac:dyDescent="0.25"/>
  <cols>
    <col min="1" max="1" width="37.42578125" customWidth="1"/>
    <col min="2" max="2" width="255.7109375" bestFit="1" customWidth="1"/>
    <col min="3" max="3" width="10.5703125" style="1" customWidth="1"/>
    <col min="4" max="4" width="10.42578125" bestFit="1" customWidth="1"/>
    <col min="5" max="5" width="13.140625" bestFit="1" customWidth="1"/>
    <col min="15" max="15" width="14.85546875" customWidth="1"/>
  </cols>
  <sheetData>
    <row r="1" spans="1:1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2"/>
      <c r="L1" s="2"/>
      <c r="M1" s="2"/>
      <c r="N1" s="2"/>
      <c r="O1" s="2"/>
    </row>
    <row r="2" spans="1:15" x14ac:dyDescent="0.25">
      <c r="A2" t="s">
        <v>16</v>
      </c>
      <c r="B2" s="6" t="s">
        <v>31</v>
      </c>
      <c r="C2" s="1" t="s">
        <v>17</v>
      </c>
      <c r="D2" s="3" t="s">
        <v>18</v>
      </c>
      <c r="E2" t="s">
        <v>17</v>
      </c>
      <c r="F2" t="b">
        <f>FALSE()</f>
        <v>0</v>
      </c>
      <c r="L2" s="5"/>
      <c r="M2" s="3"/>
      <c r="N2" s="3"/>
    </row>
    <row r="3" spans="1:15" x14ac:dyDescent="0.25">
      <c r="A3" t="s">
        <v>19</v>
      </c>
      <c r="B3" s="6" t="s">
        <v>32</v>
      </c>
      <c r="C3" s="1" t="s">
        <v>20</v>
      </c>
      <c r="D3" s="3" t="s">
        <v>18</v>
      </c>
      <c r="E3" t="s">
        <v>20</v>
      </c>
      <c r="F3" t="b">
        <f>FALSE()</f>
        <v>0</v>
      </c>
      <c r="L3" s="5"/>
      <c r="M3" s="3"/>
      <c r="N3" s="3"/>
    </row>
    <row r="4" spans="1:15" x14ac:dyDescent="0.25">
      <c r="A4" t="s">
        <v>21</v>
      </c>
      <c r="B4" s="6" t="s">
        <v>32</v>
      </c>
      <c r="C4" s="1" t="s">
        <v>20</v>
      </c>
      <c r="D4" s="3" t="s">
        <v>18</v>
      </c>
      <c r="E4" t="s">
        <v>20</v>
      </c>
      <c r="F4" t="b">
        <f>FALSE()</f>
        <v>0</v>
      </c>
      <c r="L4" s="5"/>
      <c r="M4" s="3"/>
      <c r="N4" s="3"/>
    </row>
    <row r="5" spans="1:15" x14ac:dyDescent="0.25">
      <c r="A5" t="s">
        <v>22</v>
      </c>
      <c r="B5" s="6" t="s">
        <v>33</v>
      </c>
      <c r="C5" s="1" t="s">
        <v>23</v>
      </c>
      <c r="D5" s="3" t="s">
        <v>18</v>
      </c>
      <c r="E5" t="s">
        <v>23</v>
      </c>
      <c r="F5" t="b">
        <f>FALSE()</f>
        <v>0</v>
      </c>
      <c r="L5" s="5"/>
      <c r="M5" s="3"/>
      <c r="N5" s="3"/>
    </row>
    <row r="6" spans="1:15" x14ac:dyDescent="0.25">
      <c r="A6" t="s">
        <v>24</v>
      </c>
      <c r="B6" s="6" t="s">
        <v>33</v>
      </c>
      <c r="C6" s="1" t="s">
        <v>23</v>
      </c>
      <c r="D6" s="3" t="s">
        <v>18</v>
      </c>
      <c r="E6" t="s">
        <v>23</v>
      </c>
      <c r="F6" t="b">
        <f>FALSE()</f>
        <v>0</v>
      </c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3:4" x14ac:dyDescent="0.25">
      <c r="D17" s="3"/>
    </row>
    <row r="18" spans="3:4" x14ac:dyDescent="0.25">
      <c r="C18" s="3"/>
      <c r="D18" s="3"/>
    </row>
    <row r="19" spans="3:4" x14ac:dyDescent="0.25">
      <c r="C19" s="3"/>
      <c r="D19" s="3"/>
    </row>
  </sheetData>
  <autoFilter ref="A1:F19" xr:uid="{00000000-0009-0000-0000-000001000000}">
    <sortState xmlns:xlrd2="http://schemas.microsoft.com/office/spreadsheetml/2017/richdata2" ref="A2:F19">
      <sortCondition ref="C1:C19"/>
    </sortState>
  </autoFilter>
  <conditionalFormatting sqref="B1">
    <cfRule type="duplicateValues" dxfId="2" priority="2"/>
  </conditionalFormatting>
  <hyperlinks>
    <hyperlink ref="B2" r:id="rId1" xr:uid="{D3381D98-AC0B-4875-893A-36FDAC433566}"/>
    <hyperlink ref="B3" r:id="rId2" xr:uid="{DCFEBB5E-06E8-480F-B54E-05939ABBBF90}"/>
    <hyperlink ref="B4" r:id="rId3" xr:uid="{6F39D17B-AC17-4A55-8B30-BA6ED214FC88}"/>
    <hyperlink ref="B5" r:id="rId4" xr:uid="{F17B0B12-1D76-495D-8C14-A0403DB7D6BA}"/>
    <hyperlink ref="B6" r:id="rId5" xr:uid="{9418C1D9-6AA0-4185-AD87-668D356BCCEE}"/>
  </hyperlinks>
  <pageMargins left="0.7" right="0.7" top="0.75" bottom="0.75" header="0.511811023622047" footer="0.3"/>
  <pageSetup orientation="portrait" horizontalDpi="300" verticalDpi="300"/>
  <headerFooter>
    <oddFooter>&amp;C_x000D_x000D_&amp;1#&amp;"Aptos"&amp;8&amp;K000000 Classification: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zoomScaleNormal="100" workbookViewId="0">
      <selection activeCell="A3" sqref="A3:G3"/>
    </sheetView>
  </sheetViews>
  <sheetFormatPr defaultColWidth="8.7109375" defaultRowHeight="15" customHeight="1" x14ac:dyDescent="0.25"/>
  <cols>
    <col min="1" max="1" width="16.85546875" bestFit="1" customWidth="1"/>
    <col min="2" max="2" width="74.5703125" customWidth="1"/>
    <col min="3" max="3" width="4.7109375" customWidth="1"/>
    <col min="4" max="4" width="5.85546875" customWidth="1"/>
    <col min="5" max="5" width="8.57031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30</v>
      </c>
      <c r="B2" s="5" t="s">
        <v>27</v>
      </c>
      <c r="C2" t="s">
        <v>28</v>
      </c>
      <c r="D2" t="s">
        <v>29</v>
      </c>
      <c r="F2" t="b">
        <f>FALSE()</f>
        <v>0</v>
      </c>
    </row>
    <row r="3" spans="1:8" x14ac:dyDescent="0.25">
      <c r="B3" s="6"/>
    </row>
  </sheetData>
  <conditionalFormatting sqref="B1">
    <cfRule type="duplicateValues" dxfId="1" priority="2"/>
  </conditionalFormatting>
  <hyperlinks>
    <hyperlink ref="B2" r:id="rId1" location="/scorecard/scipher.io/company-overview" xr:uid="{00000000-0004-0000-0A00-000000000000}"/>
  </hyperlinks>
  <pageMargins left="0.7" right="0.7" top="0.75" bottom="0.75" header="0.511811023622047" footer="0.3"/>
  <pageSetup orientation="portrait" horizontalDpi="300" verticalDpi="300"/>
  <headerFooter>
    <oddFooter>&amp;C_x000D_x000D_&amp;1#&amp;"Aptos"&amp;8&amp;K000000 Classification: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zoomScaleNormal="100" workbookViewId="0">
      <selection activeCell="F22" sqref="F22"/>
    </sheetView>
  </sheetViews>
  <sheetFormatPr defaultColWidth="8.7109375" defaultRowHeight="15" customHeight="1" x14ac:dyDescent="0.25"/>
  <cols>
    <col min="1" max="1" width="12.28515625" bestFit="1" customWidth="1"/>
    <col min="2" max="3" width="6.5703125" bestFit="1" customWidth="1"/>
    <col min="4" max="4" width="5.85546875" bestFit="1" customWidth="1"/>
    <col min="5" max="5" width="8.5703125" bestFit="1" customWidth="1"/>
    <col min="6" max="6" width="8" bestFit="1" customWidth="1"/>
    <col min="7" max="7" width="8.28515625" bestFit="1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25</v>
      </c>
      <c r="B2" t="s">
        <v>26</v>
      </c>
      <c r="C2" t="s">
        <v>26</v>
      </c>
      <c r="F2" t="b">
        <f>FALSE()</f>
        <v>0</v>
      </c>
    </row>
  </sheetData>
  <conditionalFormatting sqref="B1">
    <cfRule type="duplicateValues" dxfId="0" priority="2"/>
  </conditionalFormatting>
  <pageMargins left="0.7" right="0.7" top="0.75" bottom="0.75" header="0.511811023622047" footer="0.3"/>
  <pageSetup orientation="portrait" horizontalDpi="300" verticalDpi="300"/>
  <headerFooter>
    <oddFooter>&amp;C_x000D_x000D_&amp;1#&amp;"Aptos"&amp;8&amp;K000000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l1_ops</vt:lpstr>
      <vt:lpstr>soc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Sudharshan Chandran</dc:creator>
  <dc:description/>
  <cp:lastModifiedBy>Sudharshan Chandran</cp:lastModifiedBy>
  <cp:revision>11</cp:revision>
  <dcterms:created xsi:type="dcterms:W3CDTF">2015-06-05T18:19:34Z</dcterms:created>
  <dcterms:modified xsi:type="dcterms:W3CDTF">2026-04-20T06:03:41Z</dcterms:modified>
  <dc:language>en-US</dc:language>
</cp:coreProperties>
</file>