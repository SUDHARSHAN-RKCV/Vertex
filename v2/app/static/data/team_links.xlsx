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sdnch\AppData\Local\Temp\Mxt221\RemoteFiles\1773332_2_14\"/>
    </mc:Choice>
  </mc:AlternateContent>
  <xr:revisionPtr revIDLastSave="0" documentId="13_ncr:1_{6AFA8805-60AD-4007-9427-477E9B1DEAB8}" xr6:coauthVersionLast="47" xr6:coauthVersionMax="47" xr10:uidLastSave="{00000000-0000-0000-0000-000000000000}"/>
  <bookViews>
    <workbookView xWindow="-120" yWindow="-120" windowWidth="29040" windowHeight="15720" tabRatio="500" activeTab="1" xr2:uid="{00000000-000D-0000-FFFF-FFFF00000000}"/>
  </bookViews>
  <sheets>
    <sheet name="index" sheetId="1" r:id="rId1"/>
    <sheet name="roc" sheetId="5" r:id="rId2"/>
    <sheet name="apac" sheetId="3" r:id="rId3"/>
    <sheet name="l1_ops" sheetId="2" r:id="rId4"/>
    <sheet name="scipher" sheetId="6" r:id="rId5"/>
    <sheet name="scipher_ops" sheetId="14" r:id="rId6"/>
    <sheet name="scipher_vx" sheetId="7" r:id="rId7"/>
    <sheet name="scipher_fx" sheetId="8" r:id="rId8"/>
    <sheet name="scipher_rx" sheetId="9" r:id="rId9"/>
    <sheet name="scipher_di" sheetId="10" r:id="rId10"/>
    <sheet name="ml-ops" sheetId="12" r:id="rId11"/>
    <sheet name="soc" sheetId="11" r:id="rId12"/>
    <sheet name="csm" sheetId="13" r:id="rId13"/>
    <sheet name="admin" sheetId="4" r:id="rId14"/>
  </sheets>
  <definedNames>
    <definedName name="_xlnm._FilterDatabase" localSheetId="0" hidden="1">index!$A$1:$H$12</definedName>
    <definedName name="_xlnm._FilterDatabase" localSheetId="3" hidden="1">l1_ops!$A$1:$F$19</definedName>
    <definedName name="_xlnm._FilterDatabase" localSheetId="10" hidden="1">'ml-ops'!$A$1:$H$34</definedName>
    <definedName name="_xlnm._FilterDatabase" localSheetId="1" hidden="1">roc!$A$1:$D$8</definedName>
    <definedName name="_xlnm._FilterDatabase" localSheetId="4" hidden="1">scipher!$A$1:$H$9</definedName>
    <definedName name="_xlnm._FilterDatabase" localSheetId="7" hidden="1">scipher_fx!$A$1:$H$133</definedName>
    <definedName name="_xlnm._FilterDatabase" localSheetId="8" hidden="1">scipher_rx!$A$1:$H$52</definedName>
    <definedName name="_xlnm._FilterDatabase" localSheetId="6" hidden="1">scipher_vx!$A$1:$H$6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F6" i="5" l="1"/>
  <c r="F3" i="6"/>
  <c r="F10" i="12"/>
  <c r="F11" i="12"/>
  <c r="F14" i="12"/>
  <c r="F13" i="12"/>
  <c r="F7" i="12"/>
  <c r="F6" i="12"/>
  <c r="F33" i="12"/>
  <c r="F30" i="12"/>
  <c r="F29" i="12"/>
  <c r="F27" i="12"/>
  <c r="F23" i="12"/>
  <c r="F21" i="12"/>
  <c r="F18" i="12"/>
  <c r="F24" i="12"/>
  <c r="F22" i="12"/>
  <c r="F26" i="12"/>
  <c r="F8" i="12"/>
  <c r="F12" i="12"/>
  <c r="F9" i="12"/>
  <c r="F32" i="12"/>
  <c r="F31" i="12"/>
  <c r="F34" i="12"/>
  <c r="F25" i="12"/>
  <c r="F28" i="12"/>
  <c r="F17" i="12"/>
  <c r="F19" i="12"/>
  <c r="F20" i="12"/>
  <c r="F16" i="12"/>
  <c r="F15" i="12"/>
  <c r="F3" i="12"/>
  <c r="F2" i="12"/>
  <c r="F4" i="12"/>
  <c r="F5" i="12"/>
  <c r="F3" i="11"/>
  <c r="F2" i="11"/>
  <c r="F3" i="10"/>
  <c r="F2" i="10"/>
  <c r="F2" i="9"/>
  <c r="F52" i="9"/>
  <c r="F51" i="9"/>
  <c r="F50" i="9"/>
  <c r="F49" i="9"/>
  <c r="F48" i="9"/>
  <c r="F47" i="9"/>
  <c r="F46" i="9"/>
  <c r="F45" i="9"/>
  <c r="F44" i="9"/>
  <c r="F43" i="9"/>
  <c r="F42" i="9"/>
  <c r="F41" i="9"/>
  <c r="F40" i="9"/>
  <c r="F39" i="9"/>
  <c r="F38" i="9"/>
  <c r="F37" i="9"/>
  <c r="F36" i="9"/>
  <c r="F35" i="9"/>
  <c r="F34" i="9"/>
  <c r="F33" i="9"/>
  <c r="F32" i="9"/>
  <c r="F31" i="9"/>
  <c r="F30" i="9"/>
  <c r="F29" i="9"/>
  <c r="F28" i="9"/>
  <c r="F27" i="9"/>
  <c r="F26" i="9"/>
  <c r="F25" i="9"/>
  <c r="F24" i="9"/>
  <c r="F23" i="9"/>
  <c r="F22" i="9"/>
  <c r="F21" i="9"/>
  <c r="F20" i="9"/>
  <c r="F19" i="9"/>
  <c r="F18" i="9"/>
  <c r="F17" i="9"/>
  <c r="F16" i="9"/>
  <c r="F15" i="9"/>
  <c r="F14" i="9"/>
  <c r="F13" i="9"/>
  <c r="F12" i="9"/>
  <c r="F11" i="9"/>
  <c r="F10" i="9"/>
  <c r="F9" i="9"/>
  <c r="F8" i="9"/>
  <c r="F7" i="9"/>
  <c r="F6" i="9"/>
  <c r="F5" i="9"/>
  <c r="F4" i="9"/>
  <c r="F3" i="9"/>
  <c r="F85" i="8"/>
  <c r="F95" i="8"/>
  <c r="F65" i="8"/>
  <c r="F73" i="8"/>
  <c r="F78" i="8"/>
  <c r="F49" i="8"/>
  <c r="F97" i="8"/>
  <c r="F67" i="8"/>
  <c r="F99" i="8"/>
  <c r="F4" i="8"/>
  <c r="F6" i="8"/>
  <c r="F8" i="8"/>
  <c r="F13" i="8"/>
  <c r="F15" i="8"/>
  <c r="F66" i="8"/>
  <c r="F104" i="8"/>
  <c r="F116" i="8"/>
  <c r="F115" i="8"/>
  <c r="F129" i="8"/>
  <c r="F130" i="8"/>
  <c r="F114" i="8"/>
  <c r="F128" i="8"/>
  <c r="F120" i="8"/>
  <c r="F118" i="8"/>
  <c r="F126" i="8"/>
  <c r="F125" i="8"/>
  <c r="F119" i="8"/>
  <c r="F122" i="8"/>
  <c r="F117" i="8"/>
  <c r="F127" i="8"/>
  <c r="F124" i="8"/>
  <c r="F123" i="8"/>
  <c r="F121" i="8"/>
  <c r="F131" i="8"/>
  <c r="F133" i="8"/>
  <c r="F132" i="8"/>
  <c r="F29" i="8"/>
  <c r="F19" i="8"/>
  <c r="F53" i="8"/>
  <c r="F50" i="8"/>
  <c r="F31" i="8"/>
  <c r="F28" i="8"/>
  <c r="F23" i="8"/>
  <c r="F48" i="8"/>
  <c r="F37" i="8"/>
  <c r="F33" i="8"/>
  <c r="F36" i="8"/>
  <c r="F17" i="8"/>
  <c r="F32" i="8"/>
  <c r="F38" i="8"/>
  <c r="F20" i="8"/>
  <c r="F54" i="8"/>
  <c r="F18" i="8"/>
  <c r="F43" i="8"/>
  <c r="F46" i="8"/>
  <c r="F35" i="8"/>
  <c r="F34" i="8"/>
  <c r="F45" i="8"/>
  <c r="F22" i="8"/>
  <c r="F42" i="8"/>
  <c r="F92" i="8"/>
  <c r="F61" i="8"/>
  <c r="F41" i="8"/>
  <c r="F89" i="8"/>
  <c r="F75" i="8"/>
  <c r="F82" i="8"/>
  <c r="F76" i="8"/>
  <c r="F70" i="8"/>
  <c r="F86" i="8"/>
  <c r="F80" i="8"/>
  <c r="F90" i="8"/>
  <c r="F72" i="8"/>
  <c r="F64" i="8"/>
  <c r="F96" i="8"/>
  <c r="F39" i="8"/>
  <c r="F16" i="8"/>
  <c r="F27" i="8"/>
  <c r="F47" i="8"/>
  <c r="F55" i="8"/>
  <c r="F44" i="8"/>
  <c r="F108" i="8"/>
  <c r="F109" i="8"/>
  <c r="F113" i="8"/>
  <c r="F107" i="8"/>
  <c r="F106" i="8"/>
  <c r="F112" i="8"/>
  <c r="F110" i="8"/>
  <c r="F111" i="8"/>
  <c r="F105" i="8"/>
  <c r="F93" i="8"/>
  <c r="F98" i="8"/>
  <c r="F74" i="8"/>
  <c r="F79" i="8"/>
  <c r="F69" i="8"/>
  <c r="F88" i="8"/>
  <c r="F71" i="8"/>
  <c r="F84" i="8"/>
  <c r="F103" i="8"/>
  <c r="F102" i="8"/>
  <c r="F100" i="8"/>
  <c r="F83" i="8"/>
  <c r="F101" i="8"/>
  <c r="F87" i="8"/>
  <c r="F81" i="8"/>
  <c r="F94" i="8"/>
  <c r="F62" i="8"/>
  <c r="F68" i="8"/>
  <c r="F63" i="8"/>
  <c r="F56" i="8"/>
  <c r="F91" i="8"/>
  <c r="F60" i="8"/>
  <c r="F59" i="8"/>
  <c r="F58" i="8"/>
  <c r="F77" i="8"/>
  <c r="F57" i="8"/>
  <c r="F40" i="8"/>
  <c r="F51" i="8"/>
  <c r="F21" i="8"/>
  <c r="F24" i="8"/>
  <c r="F26" i="8"/>
  <c r="F25" i="8"/>
  <c r="F30" i="8"/>
  <c r="F52" i="8"/>
  <c r="F10" i="8"/>
  <c r="F9" i="8"/>
  <c r="F11" i="8"/>
  <c r="F3" i="8"/>
  <c r="F5" i="8"/>
  <c r="F7" i="8"/>
  <c r="F12" i="8"/>
  <c r="F14" i="8"/>
  <c r="F6" i="7"/>
  <c r="F5" i="7"/>
  <c r="F2" i="7"/>
  <c r="F3" i="7"/>
  <c r="F4" i="7"/>
  <c r="F2" i="6"/>
  <c r="F4" i="6"/>
  <c r="F5" i="5"/>
  <c r="F4" i="5"/>
  <c r="F3" i="5"/>
  <c r="F2" i="5"/>
  <c r="F2" i="4"/>
  <c r="F2" i="3"/>
  <c r="F19" i="2"/>
  <c r="F17" i="2"/>
  <c r="F18" i="2"/>
  <c r="F16" i="2"/>
  <c r="F15" i="2"/>
  <c r="F14" i="2"/>
  <c r="F13" i="2"/>
  <c r="F12" i="2"/>
  <c r="F11" i="2"/>
  <c r="F10" i="2"/>
  <c r="F9" i="2"/>
  <c r="F8" i="2"/>
  <c r="F7" i="2"/>
  <c r="F6" i="2"/>
  <c r="F5" i="2"/>
  <c r="F4" i="2"/>
  <c r="F3" i="2"/>
  <c r="F2" i="2"/>
</calcChain>
</file>

<file path=xl/sharedStrings.xml><?xml version="1.0" encoding="utf-8"?>
<sst xmlns="http://schemas.openxmlformats.org/spreadsheetml/2006/main" count="1445" uniqueCount="560">
  <si>
    <t>Team / Title</t>
  </si>
  <si>
    <t>URL</t>
  </si>
  <si>
    <t>Icon</t>
  </si>
  <si>
    <t>Team</t>
  </si>
  <si>
    <t>category</t>
  </si>
  <si>
    <t>is_public</t>
  </si>
  <si>
    <t>preview</t>
  </si>
  <si>
    <t>description</t>
  </si>
  <si>
    <t>Scipher Vx</t>
  </si>
  <si>
    <t>Scipher_vx</t>
  </si>
  <si>
    <t>vx</t>
  </si>
  <si>
    <t>Scipher Fx</t>
  </si>
  <si>
    <t>Fx</t>
  </si>
  <si>
    <t>fx</t>
  </si>
  <si>
    <t>Scipher Rx</t>
  </si>
  <si>
    <t>Rx</t>
  </si>
  <si>
    <t>rx</t>
  </si>
  <si>
    <t>Scipher Di</t>
  </si>
  <si>
    <t>DI</t>
  </si>
  <si>
    <t>di</t>
  </si>
  <si>
    <t>SOC-ops</t>
  </si>
  <si>
    <t>soc</t>
  </si>
  <si>
    <t>Scipher Sec-Ops</t>
  </si>
  <si>
    <t>Mlops</t>
  </si>
  <si>
    <t>ml-ops</t>
  </si>
  <si>
    <t>Scipher Ml-Ops</t>
  </si>
  <si>
    <t>L1- ops</t>
  </si>
  <si>
    <t>L1-ops</t>
  </si>
  <si>
    <t>l1</t>
  </si>
  <si>
    <t>Scipher - L1</t>
  </si>
  <si>
    <t>ROC</t>
  </si>
  <si>
    <t>roc</t>
  </si>
  <si>
    <t>apac</t>
  </si>
  <si>
    <t>default</t>
  </si>
  <si>
    <t xml:space="preserve">scipher </t>
  </si>
  <si>
    <t>scipher</t>
  </si>
  <si>
    <t>User Event Log</t>
  </si>
  <si>
    <t>https://eu-west-1.signin.aws.amazon.com/oauth?response_type=code&amp;client_id=arn%3Aaws%3Asignin%3A%3A%3Aconsole%2Fcanvas&amp;redirect_uri=https%3A%2F%2Feu-west-1.console.aws.amazon.com%2Fconsole%2Fhome%3FhashArgs%3D%2523%26isauthcode%3Dtrue%26region%3Deu-west-1%26state%3DhashArgsFromTB_eu-west-1_97821372f1fa53d1&amp;forceMobileLayout=0&amp;forceMobileApp=0&amp;code_challenge=OQo30RBphX6UuzQiN0r2ZKGxOte3rDW4MWNuiyChih8&amp;code_challenge_method=SHA-256</t>
  </si>
  <si>
    <t>aws</t>
  </si>
  <si>
    <t>L1_ops</t>
  </si>
  <si>
    <t>Datadog(Kafka)</t>
  </si>
  <si>
    <t>https://app.datadoghq.com/dashboard/q6u-3um-jzp/operationseu-west-1kafka?fromUser=false&amp;refresh_mode=sliding&amp;from_ts=1762937283600&amp;to_ts=1762940883600&amp;live=true</t>
  </si>
  <si>
    <t>Datadog</t>
  </si>
  <si>
    <t>Datadog(RX pipeline)</t>
  </si>
  <si>
    <t>https://app.datadoghq.com/dashboard/9nk-vkb-vxa/rx-pipeline-monitoring?fromUser=true&amp;refresh_mode=sliding&amp;from_ts=1762854315829&amp;to_ts=1762940715829&amp;live=true</t>
  </si>
  <si>
    <t>Dynatrace(kafka)</t>
  </si>
  <si>
    <t>https://jek39721.live.dynatrace.com/#dashboard;gtf=-2h;gf=all;id=d44c4dc7-9526-42f1-8e9e-8bcfe017df4f</t>
  </si>
  <si>
    <t>Dynatrace</t>
  </si>
  <si>
    <t>Dynatrace(Rx pipeline)</t>
  </si>
  <si>
    <t>https://jek39721.live.dynatrace.com/#dashboard;gtf=-24h%20to%20now;gf=all;id=384b2d13-1bf4-4941-bdef-fe458ebcb261</t>
  </si>
  <si>
    <t>Grafana 10_min dashboard</t>
  </si>
  <si>
    <t>http://sees35-lin-new.utopusinsights.com:3000/dashboard/db/t-ireland-xplore-10-min?refresh=30s&amp;orgId=4&amp;var-v_turbine_cust=354656&amp;var-v_farmname=(Kilgarvan%20Windfarm)SITE23058&amp;var-v_turbine=335474&amp;var-v_farm=389184&amp;var-v_capacity=3000.0&amp;var-v_turbine_id=335467%20%3C%3D%3E%2022388</t>
  </si>
  <si>
    <t>grafana</t>
  </si>
  <si>
    <t>Grafana live dashboard</t>
  </si>
  <si>
    <t>http://sees35-lin-new.utopusinsights.com:3000/dashboard/db/t-ireland-xplore-live?refresh=30s&amp;orgId=4</t>
  </si>
  <si>
    <t>http://sees35-lin-new.utopusinsights.com:3000/dashboard/db/live-10-min-data-customer-level-troubleshooting?orgId=4&amp;from=now-30d&amp;to=now&amp;var-Customer_Name=VESTAS&amp;var-farm_name=Amtenhauser%20Berg%20Wind%20Farm&amp;var-farm_id=389421&amp;var-Asset_Id=339217&amp;var-Asset_Id=339218</t>
  </si>
  <si>
    <t>http://sees35-lin-new.utopusinsights.com:3000/dashboard/db/fx_live-10min-data-troubleshooting_l1_team?orgId=4&amp;from=now-90d&amp;to=now&amp;var-farm_id=389421</t>
  </si>
  <si>
    <t>Salesforce</t>
  </si>
  <si>
    <t>https://utopusinsights.lightning.force.com/lightning/o/Case/list?filterName=UI_OPS_L1_Case</t>
  </si>
  <si>
    <t>Splunk(Fx_intraday)</t>
  </si>
  <si>
    <t>http://10.32.11.15:8000/en-GB/app/L1/fxintradayprod</t>
  </si>
  <si>
    <t>Splunk</t>
  </si>
  <si>
    <t>Splunk(10 min priority)</t>
  </si>
  <si>
    <t>http://10.32.11.15:8000/en-GB/app/L1/10mins_priority_monitoring?form.Priority=Priority_1&amp;form.Customername=VGE%2001%20SRL&amp;form.Customername=Ecopower%20erkende%20cv&amp;form.Customername=Oeverwind%20Vlaardingen%20B.V.&amp;form.Customername=Tuulepealne%20Maa%20O%C3%9C&amp;form.Customername=Sky%20sweeper&amp;form.Customername=LUCKY%20WIND%20SPA&amp;form.Customername=IVPC%20Power%206%20S.r.L.&amp;form.Customername=Moraine%20Sands%20Wind%20Power%2C%20LLC&amp;form.Customername=White%20Rock%20Wind%20East%2C%20LLC&amp;form.Customername=Greengairs%20East%20Wind%20Farm%20Limited&amp;form.Customername=Trustenergy%2C%20S.A.&amp;form.Customername=Inergia%20SPA&amp;form.Customername=LES%20EOLIENNES%20DE%20BEL%20AIR%20PLESTAN&amp;form.Customername=PARCO%20EOLICO%20ASCOLI%20S.R.L.&amp;form.Customername=PARC%20EOLIEN%20DE%20MAISON-DIEU&amp;form.Customername=ERG%20Wind%20Energy%20SRL&amp;form.Customername=ADELASIA%20SRL&amp;form.Customername=Windpark%20Stanglalm%20GmbH&amp;form.Customername=EDISON%20RINNOVABILI%20S.p.A.&amp;form.Customername=Windpark%20Neeltje-Jans%202%20B.V.&amp;form.Customername=PARC%20EOLIEN%20DES%20BOUCHATS&amp;form.Customername=Whitla%202%20Wind%20Generation%20L.P.&amp;form.Customername=BEI%20WWF%20Pty%20Ltd&amp;form.Customername=Tozzi%20Green%20S.P.A.&amp;form.Customername=Yandin%20Wind%20Farm%20Pty%20Ltd&amp;form.Customername=Capital%20Power%20(Whitla)%20L.P.&amp;form.Customername=Akenerji%20Elektrik%20%C3%9Cretim%20A.%C5%9E.&amp;form.Customername=FIDEICOMISO%2052701%2F2014&amp;form.Customername=FIDEICOMISO%2046.430%2F2014&amp;form.Customername=Proyecto%20Raki%20SpA&amp;form.Customername=Proyecto%20Huajache%20SpA&amp;form.Customername=Asja%20Ambiente%20Italia%20Spa&amp;form.Customername=Fideicosimo%2058356%2F2013&amp;form.Customername=Pockwock%20Wind%20Limited%20Partnership&amp;form.Customername=Truro%20Heights%20Wind%20Limited%20Partners&amp;form.Customername=Truro-Millbrook%20Wind%20Limited%20Partne&amp;form.Customername=Eolica%20Toscana%20SRL&amp;form.Customername=EOL%20ENERGY%20S.R.L.&amp;form.Customername=juwi%20AG%20Branch%20of%20a%20Foreign%20Company&amp;form.Customername=Lake%20Turkana%20Wind%20Power&amp;form.Customername=Energolica%20SA&amp;form.Customername=Capital%20Power%20Corporation&amp;form.Customername=Moglia%20Trading%20Ltd&amp;form.Customername=Sacramento%20Municipal%20Utility&amp;form.Customername=Macho%20Springs%20Power%20I%2C%20LLC&amp;form.Customername=E%C3%B3lica%20da%20Serra%20da%20Boa%20Viagem%2C%20SA&amp;form.Customername=Parc%20%C3%A9olien%20du%20paradis%20SAS&amp;form.Customername=Collgar%20Wind%20Farm%20Pty%20Ltd&amp;form.Customername=Engie%20Rinnovabili%20SPA&amp;form.Customername=Lake%20Bonney%20Wind%20Power%20Pty%20Ltd&amp;form.Customername=Thiers%20Expansion&amp;form.Customername=Parc%20Eolien%20Du%20Petit%20Arbre&amp;form.Customername=Consorcio%20Energ%C3%A9tico%20Punta%20Cana-Mac&amp;form.Customername=Wind4Flanders%20Projects%20Beta%20NV&amp;form.Customername=Grand%20Riviere%20Eolien%20Stockage%20Servi&amp;form.Customername=Meadowlark%20Wind%20I%2C%20LLC&amp;form.Customername=juwi%20Bestandsanlagen%20GmbH&amp;form.Windfarmname=Schelle&amp;form.Windfarmname=Eneco%20Frameries&amp;form.Windfarmname=MATAROCCO&amp;form.Windfarmname=Windpark%20Oeverwind%20Vlaardingen&amp;form.Windfarmname=Saarde&amp;form.Windfarmname=FORENZA%204V126%20HH87m%20CN-CN-IT&amp;form.Windfarmname=SAN%20SEVERO&amp;form.Windfarmname=Moraine%20Sands&amp;form.Windfarmname=Bilzen%20BESIX%20Infra%201x%20V136-4.2MW%20HH166&amp;form.Windfarmname=ASCOLI%20SATRIANO%203V136%204.2MW%20CN-CN-IT&amp;form.Windfarmname=Fafe%20Wind%20Farm&amp;form.Windfarmname=BEL%20AIR%20(PLESTAN)%20(ISM%20HH102%2BSWG)&amp;form.Windfarmname=CERIGNOLA%203V136%204MW%20HH82%20CN-CN-IT&amp;form.Windfarmname=Maison%20Dieu&amp;form.Windfarmname=Hoogstraten%20Hoge%20Akker&amp;form.Windfarmname=Camporeale&amp;form.Windfarmname=MONTE%20GREPPINO%206V136%204MW%20HH112m&amp;form.Windfarmname=MURFI_4V110_HH80&amp;form.Windfarmname=Stanglalm%20VDS_AC_REL&amp;form.Windfarmname=POGGIO%20IMPERIALE%202V150%20HH105m&amp;form.Windfarmname=Mazara_8V136_3.6MW_HH82m&amp;form.Windfarmname=OWO%20Vluchthaven&amp;form.Windfarmname=LES%20BOUCHATS%20(ISM%20SWG)&amp;form.Windfarmname=Whitla%202%20and%203&amp;form.Windfarmname=Warradarge%20Wind%20Farm&amp;form.Windfarmname=Yandin%2051%20x%20V150-4.2%20%40%20105m%20WIND%20FARM&amp;form.Windfarmname=Whitla&amp;form.Windfarmname=New%20Frontier&amp;form.Windfarmname=GRESS%20(MARTINIQUE)(ISM%20SWG%2BYAW)&amp;form.Windfarmname=AYYILDIZ%20EXT%204%20Farm&amp;form.Windfarmname=VILLA%20RODRIGUEZ%20%20Wind%20Farm&amp;form.Windfarmname=Ventus%20Maria%20Luz%20Wind%20Farm&amp;form.Windfarmname=Raki%26Huajache%20Wind%20Farm&amp;form.Windfarmname=Matera%20Ciccolocane%20Wind%20Farm&amp;form.Windfarmname=Ventus%20Rosario%20Wind%20Farm&amp;form.Windfarmname=Pockwock%20Community%20Wind%20Farm&amp;form.Windfarmname=Truro%20Heights%20Community%20Wind%20Farm&amp;form.Windfarmname=Millbrook%20Community%20Wind%20Farm&amp;form.Windfarmname=Zeri%20Wind%20Farm&amp;form.Windfarmname=Mihai%20Bravu%20Wind%20Farm&amp;form.Windfarmname=Bahrain%20Juwi_2V52_0.850MW_%20HH44m&amp;form.Windfarmname=Lake%20Turkana%20%20Farm%201&amp;form.Windfarmname=Lake%20Turkana%20%20Farm%202&amp;form.Windfarmname=Lake%20Turkana%20%20Farm%203&amp;form.Windfarmname=Bica%20da%20Cana%20Wind%20Farm&amp;form.Windfarmname=Quality%20Wind%20WindFarm&amp;form.Windfarmname=Koshi%20Wind%20Farm&amp;form.Windfarmname=Greengairs%20East&amp;form.Windfarmname=VICARETTO_4V110_HH95m&amp;form.Windfarmname=PDN%20Windfarm&amp;form.Windfarmname=Solano%20III%20A%20Wind%20Farm&amp;form.Windfarmname=Solano%20III%20B%20Wind%20Farm&amp;form.Windfarmname=Macho%20Springs%20Wind%20Farm&amp;form.Windfarmname=EOLICA%20SERRA%20DA%20BOA%20VIAGEM%20Wind%20Farm&amp;form.Windfarmname=Paradis&amp;form.Windfarmname=Collgar%20Wind%20Farm&amp;form.Windfarmname=Ayy%3Fld%3Fz%20Wind%20Farm&amp;form.Windfarmname=Trapani%20Salemi%20Wind%20Farm&amp;form.Windfarmname=Lake%20Bonney%202A&amp;form.Windfarmname=Tremeheuc%20Wind%20Farm&amp;form.Windfarmname=Petit%20Arbre%C2%A0&amp;form.Windfarmname=Lake%20Bonney%20Stage%202%20Wind%20Farm&amp;form.Windfarmname=Alia%20Sclafani%20Wind%20Farm&amp;form.Windfarmname=White%20Rock%20East&amp;form.Windfarmname=Solano%20II&amp;form.Windfarmname=Quilvio%20Cabrera%20Wind%20Farm&amp;form.Windfarmname=Weilerbach%20Wind%20Farm&amp;form.Windfarmname=Lake%20Bonney%20Wind%20Farm</t>
  </si>
  <si>
    <t>Splunk(LF)</t>
  </si>
  <si>
    <t>http://10.32.11.15:8000/en-GB/app/L1/cms_monitoring</t>
  </si>
  <si>
    <t>Splunk(HF)</t>
  </si>
  <si>
    <t>https://splunk.scipher.io/en-GB/app/ROC/scipher_data_reliability__cms_hf_v2?form.count=%3D1&amp;form.farm=Kingfisher&amp;form.filetype=*&amp;form.match=*</t>
  </si>
  <si>
    <t>TSDB</t>
  </si>
  <si>
    <t>http://tsdb-xplore-ticker.prod.eu-west-1.utopusinsights.io:4242/#start=2023/11/22-00:00:00&amp;end=2023/11/28-19:16:17&amp;m=sum:active_pwr-avg.388610.na.10m.10m&amp;o=&amp;yrange=%5B0:%5D&amp;wxh=1260x450&amp;style=linespoint</t>
  </si>
  <si>
    <t>Case tracker</t>
  </si>
  <si>
    <t>http://10.32.86.49:4565/</t>
  </si>
  <si>
    <t>website</t>
  </si>
  <si>
    <t>Sev 1 and Sev 2</t>
  </si>
  <si>
    <t>https://vestasprod.service-now.com/now/nav/ui/classic/params/target/kb_view.do%3Fsysparm_article%3DKB0021231</t>
  </si>
  <si>
    <t>OCC</t>
  </si>
  <si>
    <t>http://10.32.86.75:5000/home</t>
  </si>
  <si>
    <t>Nellikuppam Training Plan</t>
  </si>
  <si>
    <t>Nellikuppam</t>
  </si>
  <si>
    <t>Admin panel</t>
  </si>
  <si>
    <t>admin</t>
  </si>
  <si>
    <t>DDAU</t>
  </si>
  <si>
    <t>https://scipher.rx.utopusinsights.io/</t>
  </si>
  <si>
    <t>https://scipher.vx.utopusinsights.io/</t>
  </si>
  <si>
    <t>VX</t>
  </si>
  <si>
    <t>Vx User Engagement Dashboard</t>
  </si>
  <si>
    <t>https://app.powerbi.com/links/oYtMFYW2fC?ctid=c0701940-7b3f-4116-a59f-159078bc3c63&amp;pbi_source=linkShare</t>
  </si>
  <si>
    <t>pwr-bi</t>
  </si>
  <si>
    <t>https://scipher.Rx.utopusinsights.io/</t>
  </si>
  <si>
    <t>Scipher-VX</t>
  </si>
  <si>
    <t>https://ui-prod-1-eu-west-1.cloud.databricks.com/jobs/505791510001414/tasks/di-prod-cms-skf-siglimits-tier0-backfill-loader?o=581285931040572</t>
  </si>
  <si>
    <t>databricks</t>
  </si>
  <si>
    <t>https://ui-prod-1-eu-west-1.cloud.databricks.com/jobs/921515074459259/tasks/di-prod-cms-bkv-siglimits-backfill-tier0-loader?o=581285931040572</t>
  </si>
  <si>
    <t>Orchestrator - V3</t>
  </si>
  <si>
    <t>https://eu-west-1.console.aws.amazon.com/states/home?region=eu-west-1#/statemachines/view/arn%3Aaws%3Astates%3Aeu-west-1%3A803441978442%3AstateMachine%3Acustom-report-orchestrator-v3?type=standard</t>
  </si>
  <si>
    <t>S3 Files</t>
  </si>
  <si>
    <t>https://eu-west-1.console.aws.amazon.com/s3/buckets/ui-dl-power-archive-ireland?region=eu-west-1&amp;tab=objects&amp;bucketType=general</t>
  </si>
  <si>
    <t>Event Buses</t>
  </si>
  <si>
    <t>https://eu-west-1.console.aws.amazon.com/events/home?region=eu-west-1#/rules</t>
  </si>
  <si>
    <t>Cloud Watch  - Log Insights</t>
  </si>
  <si>
    <t>https://eu-west-1.console.aws.amazon.com/cloudwatch/home?region=eu-west-1#logsV2:logs-insights</t>
  </si>
  <si>
    <t>Cloud Watch  - Log Groups</t>
  </si>
  <si>
    <t>https://eu-west-1.console.aws.amazon.com/cloudwatch/home?region=eu-west-1#logsV2:log-groups</t>
  </si>
  <si>
    <t>Lambda -ltwp_custom_ dayahead_forecast</t>
  </si>
  <si>
    <t>https://eu-west-1.console.aws.amazon.com/lambda/home?region=eu-west-1#/functions/ltwp_custom_dayahead_forecast?tab=code</t>
  </si>
  <si>
    <t>Lambda - Collgar 5 min</t>
  </si>
  <si>
    <t>https://eu-west-1.console.aws.amazon.com/lambda/home?region=eu-west-1#/functions/collgar30min?tab=code</t>
  </si>
  <si>
    <t>External API Monitoring</t>
  </si>
  <si>
    <t>https://eu-west-1.console.aws.amazon.com/lambda/home?region=eu-west-1#/functions/ExternalAPIMonitoring?tab=code</t>
  </si>
  <si>
    <t>Customer Onboarding Template</t>
  </si>
  <si>
    <t>https://utopusinsights.atlassian.net/wiki/spaces/HYP/pages/602439755/Customer+Onboarding+Template</t>
  </si>
  <si>
    <t>confluence</t>
  </si>
  <si>
    <t>confluence onboarding</t>
  </si>
  <si>
    <t>All NWPs(Weather data source) for Sciper.Fx onboarding</t>
  </si>
  <si>
    <t>https://utopusinsights.atlassian.net/wiki/spaces/HYP/pages/2430042128/All+NWPs+Weather+data+source+for+Sciper.Fx+onboarding</t>
  </si>
  <si>
    <t>DE Utility Dashboards</t>
  </si>
  <si>
    <t>https://utopusinsights.atlassian.net/wiki/spaces/HYP/pages/1950744589/DE+Utility+Dashboards</t>
  </si>
  <si>
    <t>Fast Store Live and Aggregated Measurement Data Latency Monitoring</t>
  </si>
  <si>
    <t>https://utopusinsights.atlassian.net/wiki/spaces/HYP/pages/203129706/Fast+Store+Live+and+Aggregated+Measurement+Data+Latency+Monitoring</t>
  </si>
  <si>
    <t>Power Curves Data</t>
  </si>
  <si>
    <t>https://utopusinsights.atlassian.net/wiki/spaces/HYP/pages/188744081/Power+Curves+Data</t>
  </si>
  <si>
    <t>SOP FX Custom Hierarchy Custom Farm</t>
  </si>
  <si>
    <t>https://utopusinsights.atlassian.net/wiki/spaces/HYP/pages/1554743371/SOP+FX+Custom+Hierarchy</t>
  </si>
  <si>
    <t>Fx Additional Properties / Configurations Required</t>
  </si>
  <si>
    <t>https://utopusinsights.atlassian.net/wiki/spaces/HYP/pages/55771147/Fx+Additional+Properties+Configurations+Required</t>
  </si>
  <si>
    <t>Fx Onboarding Properties</t>
  </si>
  <si>
    <t>https://utopusinsights.atlassian.net/wiki/spaces/HYP/pages/2947022849/SOP+-FX-DAILY</t>
  </si>
  <si>
    <t>Scipher Fx active farm analysis dashboard</t>
  </si>
  <si>
    <t>https://ui-prod-1-eu-west-1.cloud.databricks.com/?o=581285931040572#notebook/2533274722596634/dashboard/9115a02e-22fe-4c6c-b0b3-fad5bfc574d6</t>
  </si>
  <si>
    <t>databricks dashboard</t>
  </si>
  <si>
    <t xml:space="preserve">Asset Property Validation </t>
  </si>
  <si>
    <t>https://ui-prod-1-eu-west-1.cloud.databricks.com/jobs/328776780880504?o=581285931040572</t>
  </si>
  <si>
    <t>RDS And Data lake Validation</t>
  </si>
  <si>
    <t>https://ui-prod-1-eu-west-1.cloud.databricks.com/?o=581285931040572#notebook/3708215548821471/dashboard/2569394059134775/present</t>
  </si>
  <si>
    <t>Granularity Mismatch between RDS scoring and in asset properties</t>
  </si>
  <si>
    <t>https://ui-prod-1-eu-west-1.cloud.databricks.com/?o=581285931040572#notebook/3987806264974579/dashboard/3987806264977273</t>
  </si>
  <si>
    <t>Databrick jobs cost calculation for active and inactive jobs</t>
  </si>
  <si>
    <t>https://ui-prod-1-eu-west-1.cloud.databricks.com/?o=581285931040572#notebook/505625311837295/dashboard/68fef8fc-3086-4bd4-aa82-0ea47c995519</t>
  </si>
  <si>
    <t>Insert/Update the FX_SCORING_ACTIVE property – Staging</t>
  </si>
  <si>
    <t>https://ui-stage-1-eu-west-1.cloud.databricks.com/?o=2557749522913591#notebook/1927080188811261/dashboard/4246257270342371/present</t>
  </si>
  <si>
    <t>Insert/Update the FX_SCORING_ACTIVE property – Production</t>
  </si>
  <si>
    <t>https://ui-prod-1-eu-west-1.cloud.databricks.com/?o=581285931040572#notebook/192046085629438/dashboard/5c1e0f29-b254-4d99-afec-a5568e77be67/present</t>
  </si>
  <si>
    <t>scipher-application-onboarded-farm-analysis</t>
  </si>
  <si>
    <t>https://ui-prod-1-eu-west-1.cloud.databricks.com/editor/notebooks/2533274722610572/dashboards/66ae4686-b32f-4ce4-8477-047aabf82702?o=581285931040572</t>
  </si>
  <si>
    <t>Revision Miss and Duplicate Checks</t>
  </si>
  <si>
    <t>https://ui-prod-1-eu-west-1.cloud.databricks.com/editor/notebooks/54858378981983/dashboards/2fbf71bc-43a6-4922-9915-0729715ed04d?o=581285931040572</t>
  </si>
  <si>
    <t>Live Measurement Data Latency Dashboard -Production</t>
  </si>
  <si>
    <t>https://ui-prod-1-eu-west-1.cloud.databricks.com/editor/notebooks/2282315829502923/dashboards/2710840543316269/present?o=581285931040572</t>
  </si>
  <si>
    <t>Live Measurement Data Latency Dashboard -Staging</t>
  </si>
  <si>
    <t>https://ui-stage-1-eu-west-1.cloud.databricks.com/editor/notebooks/3074421191050649/dashboards/3074421191050938/present?o=2557749522913591</t>
  </si>
  <si>
    <t xml:space="preserve">Generate metadata details for active farm scoring, intended for a Splunk dashboard. </t>
  </si>
  <si>
    <t>https://ui-prod-1-eu-west-1.cloud.databricks.com/jobs/649578121794101?o=581285931040572</t>
  </si>
  <si>
    <t>databricks jobs</t>
  </si>
  <si>
    <t xml:space="preserve">Power-Intraday revision failure script </t>
  </si>
  <si>
    <t>https://ui-prod-1-eu-west-1.cloud.databricks.com/jobs/916072550763761?o=581285931040572</t>
  </si>
  <si>
    <t>Duplicate Specification id detection – Staging</t>
  </si>
  <si>
    <t>https://ui-stage-1-eu-west-1.cloud.databricks.com/jobs/82886111617219?o=2557749522913591</t>
  </si>
  <si>
    <t>Duplicate Specification id detection  – Production</t>
  </si>
  <si>
    <t>https://ui-prod-1-eu-west-1.cloud.databricks.com/jobs/827492192436494?o=581285931040572</t>
  </si>
  <si>
    <t>Inserting FX_SCORING_ACTIVE for deployed model – Staging</t>
  </si>
  <si>
    <t>https://ui-stage-1-eu-west-1.cloud.databricks.com/jobs/421811022237774?o=2557749522913591</t>
  </si>
  <si>
    <t>Inserting FX_SCORING_ACTIVE property for undeployed model – Staging</t>
  </si>
  <si>
    <t>https://ui-stage-1-eu-west-1.cloud.databricks.com/jobs/961745051791784?o=2557749522913591</t>
  </si>
  <si>
    <t>Inserting FX_SCORING_ACTIVE for deployed model  – Production</t>
  </si>
  <si>
    <t>Inserting FX_SCORING_ACTIVE property for undeployed model  – Production</t>
  </si>
  <si>
    <t>https://ui-prod-1-eu-west-1.cloud.databricks.com/jobs/83475000298654?o=581285931040572</t>
  </si>
  <si>
    <t>Live and 10 Min measurement data validation for onboarding</t>
  </si>
  <si>
    <t>https://ui-prod-1-eu-west-1.cloud.databricks.com/jobs/1079253485171291?o=581285931040572</t>
  </si>
  <si>
    <t>Power-Intraday revision failure script</t>
  </si>
  <si>
    <t>DST changes automation</t>
  </si>
  <si>
    <t>https://ui-prod-1-eu-west-1.cloud.databricks.com/jobs/1013454178982431/runs/225683362964640?o=581285931040572</t>
  </si>
  <si>
    <t>GFS correlation automation</t>
  </si>
  <si>
    <t>https://ui-prod-1-eu-west-1.cloud.databricks.com/jobs/516556809547782?o=581285931040572</t>
  </si>
  <si>
    <t>ECMWF correlation automation</t>
  </si>
  <si>
    <t>https://ui-prod-1-eu-west-1.cloud.databricks.com/jobs/130078285248592?o=581285931040572</t>
  </si>
  <si>
    <t>Weather Data Sync to stage</t>
  </si>
  <si>
    <t>https://ui-stage-1-eu-west-1.cloud.databricks.com/editor/notebooks/596405318861128?o=2557749522913591#command/7330938784304549</t>
  </si>
  <si>
    <t>Prod to Stage Prperty sync for containment heirarchy issue</t>
  </si>
  <si>
    <t>https://ui-stage-1-eu-west-1.cloud.databricks.com/editor/notebooks/2116041809613838?o=2557749522913591#command/2116041809613839</t>
  </si>
  <si>
    <t>SPEC Entry</t>
  </si>
  <si>
    <t>https://vestas-my.sharepoint.com/:x:/p/haaja/EfAit-pVFfNAvX0J9RoBFWsBbElf4pXBqOCPIw_q4g2zTw?email=alaen%40vestas.com&amp;e=ulNefH&amp;CID=47B64D9F-7FAC-43E5-8E76-449EC5EC7B0E&amp;wdLOR=c0BE47D45-A29A-4AA0-AAB7-756546A0ECCB</t>
  </si>
  <si>
    <t>excel</t>
  </si>
  <si>
    <t>SFTP user</t>
  </si>
  <si>
    <t>https://vestas-my.sharepoint.com/:x:/r/personal/haaja_vestas_com/_layouts/15/Doc.aspx?sourcedoc=%7BAE9AC6B3-3B46-4A25-9BC3-4D2A50D4DBD7%7D&amp;file=Scipher.Fx%20SFTP%20user%20access%20details.xlsx&amp;action=default&amp;mobileredirect=true</t>
  </si>
  <si>
    <t>Email user</t>
  </si>
  <si>
    <t>https://vestas-my.sharepoint.com/:x:/r/personal/haaja_vestas_com/_layouts/15/Doc.aspx?sourcedoc=%7BA2C05B0A-A810-427B-9867-E993A1A701EC%7D&amp;file=Scipher.Fx%20EMAIL%20user%20access%20details.xlsx&amp;action=default&amp;mobileredirect=true</t>
  </si>
  <si>
    <t>API user</t>
  </si>
  <si>
    <t>https://vestas-my.sharepoint.com/:x:/r/personal/haaja_vestas_com/_layouts/15/Doc.aspx?sourcedoc=%7BD8699DEB-B0AE-4F20-B323-A2C0862743CA%7D&amp;file=Scipher.Fx%20API%20user%20access.xlsx&amp;action=default&amp;mobileredirect=true</t>
  </si>
  <si>
    <t>Automation</t>
  </si>
  <si>
    <t>https://vestas-my.sharepoint.com/:x:/r/personal/anuth_vestas_com/_layouts/15/Doc.aspx?sourcedoc=%7BAC1C1570-9387-4EC7-A7E5-5B37B64D3DD2%7D&amp;file=FXOps%20Automation%2024.xlsx&amp;wdLOR=c4E6C9F16-C7BA-40E8-AE20-94372DEB3EF3&amp;fromShare=true&amp;action=default&amp;mobileredirect=true</t>
  </si>
  <si>
    <t>Training</t>
  </si>
  <si>
    <t>https://vestas-my.sharepoint.com/:x:/r/personal/anuth_vestas_com/_layouts/15/Doc.aspx?sourcedoc=%7BD1FE57C8-2906-4D8C-9348-6E5ABBB7F408%7D&amp;file=Trainings_FX.xlsx&amp;wdLOR=cC251F068-EBF4-43C7-9C95-C803D2712A0B&amp;fromShare=true&amp;action=default&amp;mobileredirect=true</t>
  </si>
  <si>
    <t xml:space="preserve">UI </t>
  </si>
  <si>
    <t>https://vestas-my.sharepoint.com/:x:/r/personal/haaja_vestas_com/_layouts/15/Doc.aspx?sourcedoc=%7BED07FBF5-3A1F-4642-A7CF-B69DAF1ED442%7D&amp;file=Scipher.FX%20UI%20access.xlsx&amp;action=default&amp;mobileredirect=true</t>
  </si>
  <si>
    <t xml:space="preserve">Inactive customer </t>
  </si>
  <si>
    <t>https://vestas-my.sharepoint.com/:x:/r/personal/haaja_vestas_com/_layouts/15/Doc.aspx?sourcedoc=%7B7D63247A-9C49-41FA-AC96-18D120756079%7D&amp;file=Scipher.Fx%20Inactive%20customer%20status%20details.xlsx&amp;wdLOR=cDAD418D7-9FDE-4A16-ABF1-D0CC491415A4&amp;fromShare=true&amp;action=default&amp;mobileredirect=true</t>
  </si>
  <si>
    <t>Paid and pilot customer</t>
  </si>
  <si>
    <t>https://vestas-my.sharepoint.com/:x:/r/personal/haaja_vestas_com/_layouts/15/Doc.aspx?sourcedoc=%7B693304C2-22C8-47A9-8E37-039D962E4088%7D&amp;file=Scipher.Fx%20paid%20and%20pilot%20customer%20list%20status.xlsx&amp;wdLOR=cF71617CD-A611-4D6A-BBBA-5CB81D75D69D&amp;fromShare=true&amp;action=default&amp;mobileredirect=true</t>
  </si>
  <si>
    <t>KT Session - Khizar</t>
  </si>
  <si>
    <t>https://utopusinsights.atlassian.net/wiki/spaces/HYP/pages/3220471880/Scipher.Fx+Knowledge+Transfer+-+Khizar</t>
  </si>
  <si>
    <t>kt</t>
  </si>
  <si>
    <t>KT Session - Naman</t>
  </si>
  <si>
    <t>https://utopusinsights.atlassian.net/wiki/spaces/I/pages/3630989313/KT+Session+-+Naman</t>
  </si>
  <si>
    <t xml:space="preserve">KT Session - Chetan </t>
  </si>
  <si>
    <t>https://utopusinsights.atlassian.net/wiki/spaces/HYP/pages/3658121219/Scipher+FxOps+-+Knowledge+Transfer+Chetan</t>
  </si>
  <si>
    <t>Knowledge Transfer sessions for internal automations, custom scripts, new features</t>
  </si>
  <si>
    <t>https://utopusinsights.atlassian.net/wiki/spaces/HYP/pages/2044822394/Knowledge+Transfer+sessions+for+internal+automations+custom+scripts+new+features+etc..</t>
  </si>
  <si>
    <t>Power Curve onboarding Dashboard</t>
  </si>
  <si>
    <t>https://ui-prod-1-eu-west-1.cloud.databricks.com/editor/notebooks/2282315829545660/dashboards/7c714b4c-3997-4aa4-bee6-7fba7972d021?o=581285931040572</t>
  </si>
  <si>
    <t>power curve onboarding</t>
  </si>
  <si>
    <t>Power-Curve Onboarding confluence</t>
  </si>
  <si>
    <t>https://utopusinsights.atlassian.net/wiki/spaces/HYP/pages/2946761245/Power-Curve+Onboarding</t>
  </si>
  <si>
    <t>power_curve_sync - staging</t>
  </si>
  <si>
    <t>https://ui-stage-1-eu-west-1.cloud.databricks.com/editor/notebooks/4004033677899538?o=2557749522913591#command/4004033677899539</t>
  </si>
  <si>
    <t>power_curve_sync - production</t>
  </si>
  <si>
    <t>https://ui-prod-1-eu-west-1.cloud.databricks.com/editor/notebooks/3045471278205814?o=581285931040572#command/3045471278205815</t>
  </si>
  <si>
    <t>Live and 10 minute data validateion</t>
  </si>
  <si>
    <t>power onboarding</t>
  </si>
  <si>
    <t xml:space="preserve">NWP data validtaion </t>
  </si>
  <si>
    <t>https://ui-prod-1-eu-west-1.cloud.databricks.com/jobs/988286487333862?o=581285931040572</t>
  </si>
  <si>
    <t>10 minute data backfill</t>
  </si>
  <si>
    <t>https://ui-prod-1-eu-west-1.cloud.databricks.com/jobs/533588804811209/runs?o=581285931040572</t>
  </si>
  <si>
    <t>Live data backfill</t>
  </si>
  <si>
    <t>https://ui-prod-1-eu-west-1.cloud.databricks.com/jobs/872490389887333/runs?o=581285931040572</t>
  </si>
  <si>
    <t>NWP icon_eu backfill</t>
  </si>
  <si>
    <t>https://ui-prod-1-eu-west-1.cloud.databricks.com/jobs/1054105089707647?o=581285931040572</t>
  </si>
  <si>
    <t>NWP icon backfill</t>
  </si>
  <si>
    <t>https://ui-prod-1-eu-west-1.cloud.databricks.com/jobs/28630774019758?o=581285931040572</t>
  </si>
  <si>
    <t>NWP GDPS15 backfill</t>
  </si>
  <si>
    <t>https://ui-prod-1-eu-west-1.cloud.databricks.com/jobs/712299136702014?o=581285931040572</t>
  </si>
  <si>
    <t>NWP ECMWF and GFS backfill</t>
  </si>
  <si>
    <t>https://ui-prod-1-eu-west-1.cloud.databricks.com/jobs/279873915500503?o=581285931040572</t>
  </si>
  <si>
    <t>NWP ecmwf_ens_ctrl backfill</t>
  </si>
  <si>
    <t>https://ui-prod-1-eu-west-1.cloud.databricks.com/jobs/952009636052905?o=581285931040572</t>
  </si>
  <si>
    <t>referencedb_sync-Production</t>
  </si>
  <si>
    <t>https://ui-prod-1-eu-west-1.cloud.databricks.com/editor/notebooks/1631985909647723?o=581285931040572#command/1631985909647724</t>
  </si>
  <si>
    <t>referencedb_sync-Staging</t>
  </si>
  <si>
    <t>https://ui-stage-1-eu-west-1.cloud.databricks.com/editor/notebooks/1389977918903493?o=2557749522913591#command/1389977918903494</t>
  </si>
  <si>
    <t>Pre FX Onboarding Checks</t>
  </si>
  <si>
    <t>sop</t>
  </si>
  <si>
    <t>FX Custom Hierarchy</t>
  </si>
  <si>
    <t>FX Wind - DS &amp; MM SOPs</t>
  </si>
  <si>
    <t>https://utopusinsights.atlassian.net/wiki/spaces/HYP/pages/336068622/Fx+Wind+-+SOPs+for+DS+and+MM</t>
  </si>
  <si>
    <t>New Read Access for Scipher.Fx Databases</t>
  </si>
  <si>
    <t>https://utopusinsights.atlassian.net/wiki/spaces/HYP/pages/2800124125/New+Read+access+user+and+scope+for+Scipher.Fx+staging+and+production+application+databases</t>
  </si>
  <si>
    <t>Infra Changes for Scipher.Fx (App &amp; Databricks)</t>
  </si>
  <si>
    <t>https://utopusinsights.atlassian.net/wiki/spaces/HYP/pages/2801729742/Scipher.Fx+Infra+changes+requested+from+Product+team+Application+and+Databricks</t>
  </si>
  <si>
    <t>FX Jenkins Jobs</t>
  </si>
  <si>
    <t>https://utopusinsights.atlassian.net/wiki/spaces/HYP/pages/352256280/SOP</t>
  </si>
  <si>
    <t>NWP Data Validation Tool</t>
  </si>
  <si>
    <t>https://utopusinsights.atlassian.net/wiki/spaces/HYP/pages/2947088385/SOP+for+NWP+data+validation+with+Internal+tool</t>
  </si>
  <si>
    <t>Manual EKS Scaling</t>
  </si>
  <si>
    <t>https://utopusinsights.atlassian.net/wiki/spaces/HYP/pages/1205174741/SOP+Manual+EKS+Scaling</t>
  </si>
  <si>
    <t>Weather Forecasting Ops</t>
  </si>
  <si>
    <t>https://utopusinsights.atlassian.net/wiki/spaces/HYP/pages/927433221/SOP+-+Scipher.FX+Operational+Weather+forecasting</t>
  </si>
  <si>
    <t>Solar Combined Engine</t>
  </si>
  <si>
    <t>https://utopusinsights.atlassian.net/wiki/spaces/HYP/pages/1541047037/Solar+Combined+Engine+-+SoP</t>
  </si>
  <si>
    <t>Solar Intraday Engine</t>
  </si>
  <si>
    <t>https://utopusinsights.atlassian.net/wiki/spaces/HYP/pages/2891808769/Solar+Intraday+Engine+-+SoP</t>
  </si>
  <si>
    <t>Custom Reports</t>
  </si>
  <si>
    <t>https://utopusinsights.atlassian.net/wiki/spaces/HYP/pages/2731835623/Custom+Report+SOP</t>
  </si>
  <si>
    <t>Enable/Disable Lambda Events</t>
  </si>
  <si>
    <t>https://utopusinsights.atlassian.net/wiki/spaces/HYP/pages/1022066843/SOP+for+Enable+Disable+Lambdas+Event</t>
  </si>
  <si>
    <t>Demo Environment Setup</t>
  </si>
  <si>
    <t>https://utopusinsights.atlassian.net/wiki/spaces/HYP/pages/2855534857/SOP+Fx+Demo+Environment+Setup</t>
  </si>
  <si>
    <t>Scipher.Fx Farm Split (Custom Hierarchy)</t>
  </si>
  <si>
    <t>https://utopusinsights.atlassian.net/wiki/spaces/HYP/pages/2736786120/SOP+for+Scipher.Fx+farm+splitting+Custom+hierarchy</t>
  </si>
  <si>
    <t>FX Demo Farm Setup</t>
  </si>
  <si>
    <t>https://utopusinsights.atlassian.net/wiki/spaces/HYP/pages/2856222721/SOP+Fx+Demo+Farm+Setup</t>
  </si>
  <si>
    <t>ETL &amp; Scoring Job Validation</t>
  </si>
  <si>
    <t>https://utopusinsights.atlassian.net/wiki/spaces/HYP/pages/421134337/SOP+for+validating+the+ETL+Jobs+Scoring+Jobs</t>
  </si>
  <si>
    <t>Wind Model Training &amp; Scoring (NWP)</t>
  </si>
  <si>
    <t>https://utopusinsights.atlassian.net/wiki/spaces/HYP/pages/1884654366/FX+Wind+NWP-based+model+training+and+scoring+SOP</t>
  </si>
  <si>
    <t>Scoring Platform Release</t>
  </si>
  <si>
    <t>https://utopusinsights.atlassian.net/wiki/spaces/HYP/pages/2183954608/Scoring+Platform+Release+-+SOP+WIP</t>
  </si>
  <si>
    <t>FX Demo Portfolio</t>
  </si>
  <si>
    <t>https://utopusinsights.atlassian.net/wiki/spaces/HYP/pages/2726920375/Fx+Demo+Portfolio</t>
  </si>
  <si>
    <t>Solar Engine Training/Scoring Docs &amp; SOPs</t>
  </si>
  <si>
    <t>https://utopusinsights.atlassian.net/wiki/spaces/HYP/pages/539428162/Enhanced+Solar+Engine+Training+Scoring+Documentation+SOP</t>
  </si>
  <si>
    <t>Scipher.Fx Solar DS Engine v2.0.1 SOP</t>
  </si>
  <si>
    <t>https://utopusinsights.atlassian.net/wiki/spaces/HYP/pages/845742140/Scipher.Fx+Solar+DS+Engine+2.0.1+-+SOP</t>
  </si>
  <si>
    <t>SOP: Adhoc Pipeline for Live Data</t>
  </si>
  <si>
    <t>https://utopusinsights.atlassian.net/wiki/spaces/HYP/pages/1464401925/SOP+Adhoc+Pipeline+to+load+the+Live+Data</t>
  </si>
  <si>
    <t>SOP: FX Post-Processing Prod Issues</t>
  </si>
  <si>
    <t>https://utopusinsights.atlassian.net/wiki/spaces/HYP/pages/2380497628/SOP+FX+Post-Processing+Production+issues</t>
  </si>
  <si>
    <t>Infigen Data latency monitoring</t>
  </si>
  <si>
    <t>http://10.32.11.15:8000/en-GB/app/L1/infigen</t>
  </si>
  <si>
    <t>splunk dashboard</t>
  </si>
  <si>
    <t>Infigen forecast submission validation</t>
  </si>
  <si>
    <t>http://10.32.11.15:8000/en-GB/app/L1/infigen_forecast</t>
  </si>
  <si>
    <t>Intraday real time data monitoring from FDS</t>
  </si>
  <si>
    <t>Fx Monitoring</t>
  </si>
  <si>
    <t>https://teams.microsoft.com/l/channel/19%3A38ebb611418c4a09b2ae057d87c37e01%40thread.tacv2/Scipher%20Fx%20-%20Fx%20Monitoring?groupId=a6cdf762-ec1d-449b-8d13-e502c20f04c5&amp;tenantId=c0701940-7b3f-4116-a59f-159078bc3c63</t>
  </si>
  <si>
    <t>teams</t>
  </si>
  <si>
    <t>Fx-monitoring-rds-sftp-failures</t>
  </si>
  <si>
    <t>https://teams.microsoft.com/l/channel/19%3A7f63ec71c97f46e5b1b04a5a104ccc9e%40thread.tacv2/Scipher%20Fx%20-%20Fx-monitoring-rds-sftp-failures?groupId=a6cdf762-ec1d-449b-8d13-e502c20f04c5&amp;tenantId=c0701940-7b3f-4116-a59f-159078bc3c63</t>
  </si>
  <si>
    <t>Intraday Monitoring Report</t>
  </si>
  <si>
    <t>https://teams.microsoft.com/l/channel/19%3A8c4112ec488847ecae27517b2621a7ab%40thread.tacv2/Scipher%20Fx%20-%20Intraday%20Monitoring%20Report?groupId=a6cdf762-ec1d-449b-8d13-e502c20f04c5&amp;tenantId=c0701940-7b3f-4116-a59f-159078bc3c63</t>
  </si>
  <si>
    <t>Reportservice_monitoring</t>
  </si>
  <si>
    <t>https://teams.microsoft.com/l/channel/19%3Ab16d869206c0456094bebc06421a718a%40thread.tacv2/Scipher_fx_reportservice_monitoring?groupId=a6cdf762-ec1d-449b-8d13-e502c20f04c5&amp;tenantId=c0701940-7b3f-4116-a59f-159078bc3c63</t>
  </si>
  <si>
    <t>Scipher_fx_success_alerts</t>
  </si>
  <si>
    <t>https://teams.microsoft.com/l/channel/19%3A0f5bf03b50694ccda7fd96543bba5177%40thread.tacv2/Scipher_fx_success_alerts?groupId=a6cdf762-ec1d-449b-8d13-e502c20f04c5&amp;tenantId=c0701940-7b3f-4116-a59f-159078bc3c63</t>
  </si>
  <si>
    <t>Prod-scoring-platform-alerts</t>
  </si>
  <si>
    <t>https://teams.microsoft.com/l/channel/19%3A40857143641543389554b3c39e9c0806%40thread.tacv2/Scipher%20fx-prod-scoring-platform-alerts?groupId=d5a83f08-d8e1-433b-86d1-38759aff165b&amp;tenantId=c0701940-7b3f-4116-a59f-159078bc3c63</t>
  </si>
  <si>
    <t>Scipher_fx_alerts_and_failures</t>
  </si>
  <si>
    <t>https://teams.microsoft.com/l/channel/19%3A31b316b2d49b48da8dea0a4608fc757c%40thread.tacv2/Scipher_Fx_Staging_Alerts_And_Failures?groupId=d5a83f08-d8e1-433b-86d1-38759aff165b&amp;tenantId=c0701940-7b3f-4116-a59f-159078bc3c63</t>
  </si>
  <si>
    <t>Scipher_fx_forecast_files</t>
  </si>
  <si>
    <t>https://teams.microsoft.com/l/channel/19%3Aa78ea2b603b64e8b9fbbfc3735e80c26%40thread.tacv2/Scipher_fx_forecast_files?groupId=d5a83f08-d8e1-433b-86d1-38759aff165b&amp;tenantId=c0701940-7b3f-4116-a59f-159078bc3c63</t>
  </si>
  <si>
    <t>Scipher_fx_custom_forecast_files</t>
  </si>
  <si>
    <t>https://teams.microsoft.com/l/channel/19%3Aaa4ee802d8074062b555474dd0bbb73a%40thread.tacv2/Scipher_fx_custom_forecast_files?groupId=d5a83f08-d8e1-433b-86d1-38759aff165b&amp;tenantId=c0701940-7b3f-4116-a59f-159078bc3c63</t>
  </si>
  <si>
    <t>Scipher_fx_forecast_files_staging</t>
  </si>
  <si>
    <t>https://teams.microsoft.com/l/channel/19%3A258794dd933a434a905a864db22c3036%40thread.tacv2/Scipher_fx_forecast_files_staging?groupId=d5a83f08-d8e1-433b-86d1-38759aff165b&amp;tenantId=c0701940-7b3f-4116-a59f-159078bc3c63</t>
  </si>
  <si>
    <t>Scipher_fx_staging_alerts_and_failures</t>
  </si>
  <si>
    <t>Test-ModelOps</t>
  </si>
  <si>
    <t>https://teams.microsoft.com/l/channel/19%3Ae71bf71889a84a7c994b46402b89d28c%40thread.tacv2/Test-ModelOps?groupId=d5a83f08-d8e1-433b-86d1-38759aff165b&amp;tenantId=c0701940-7b3f-4116-a59f-159078bc3c63</t>
  </si>
  <si>
    <t>Grafana</t>
  </si>
  <si>
    <t>http://sees35-lin-new.utopusinsights.com:3000/?orgId=4</t>
  </si>
  <si>
    <t>troubleshooting</t>
  </si>
  <si>
    <t>OPEN TSDB- 10 min</t>
  </si>
  <si>
    <t>http://tsdb-xplore-ticker.prod.eu-west-1.utopusinsights.io:4242/#start=2023/03/10-00:00:00&amp;end=2023/03/20-10:25:42&amp;m=sum:active_pwr-avg.407930.na.10m.10m&amp;o=&amp;yrange=%5B0:%5D&amp;wxh=1900x683&amp;style=linespoint</t>
  </si>
  <si>
    <t>OPEN TSDB- Live</t>
  </si>
  <si>
    <t>http://tsdb-xplore-ticker.prod.eu-west-1.utopusinsights.io:4242/#start=2021/01/01-00:00:00&amp;end=2023/03/20-09:43:24&amp;m=sum:active_pwr.605780.na.live.eda&amp;o=&amp;yrange=%5B0:%5D&amp;wxh=1900x614&amp;style=linespoint</t>
  </si>
  <si>
    <t>Infigen</t>
  </si>
  <si>
    <t>http://10.32.11.15:8000/en-US/app/L1/infigen</t>
  </si>
  <si>
    <t>Splunk Fx</t>
  </si>
  <si>
    <t>http://10.32.11.15:8000/en-US/app/L1/nmae_new?form.Year=2020&amp;form.Month=March&amp;form.MDate=*&amp;form.farm_name=Apollo%20Wind%20Farm</t>
  </si>
  <si>
    <t>DATADOG</t>
  </si>
  <si>
    <t>https://app.datadoghq.com/account/login?next=%2Fdashboard%2Flists</t>
  </si>
  <si>
    <t>datadog</t>
  </si>
  <si>
    <t>Production_revision_check</t>
  </si>
  <si>
    <t>https://ui-prod-1-eu-west-1.cloud.databricks.com/editor/notebooks/3634060892148721/dashboards/31e115e6-7781-4b22-ab0b-9dbd566527fe/present?o=581285931040572</t>
  </si>
  <si>
    <t>scipher-fx-staging-weahther-data-sync</t>
  </si>
  <si>
    <t>weather onboarding</t>
  </si>
  <si>
    <t>Live Weather Data Latency new lat long - Production</t>
  </si>
  <si>
    <t>https://ui-prod-1-eu-west-1.cloud.databricks.com/editor/notebooks/4155032458198099/dashboards/4155032458198120/present?o=581285931040572</t>
  </si>
  <si>
    <t>Live Weather Data Latency new lat long - Staging</t>
  </si>
  <si>
    <t>https://ui-stage-1-eu-west-1.cloud.databricks.com/editor/notebooks/4207439172162004/dashboards/4207439172162026/present?o=2557749522913591</t>
  </si>
  <si>
    <t>Fast Store Live Weather Data Latency Dashboard</t>
  </si>
  <si>
    <t>https://utopusinsights.atlassian.net/wiki/spaces/HYP/pages/523470005/Fast+Store+Live+Weather+Data+Latency+Dashboard</t>
  </si>
  <si>
    <t>3.2.1(NWP training wind)</t>
  </si>
  <si>
    <t>https://ui-prod-1-eu-west-1.cloud.databricks.com/jobs/356702319349176?o=581285931040572</t>
  </si>
  <si>
    <t>wind onboarding</t>
  </si>
  <si>
    <t>3.2.1(NWP Hindcasting wind)</t>
  </si>
  <si>
    <t>https://ui-prod-1-eu-west-1.cloud.databricks.com/jobs/1120675644849933?o=581285931040572</t>
  </si>
  <si>
    <t>3.2.1(prod execute referencedb wind)</t>
  </si>
  <si>
    <t>https://ui-prod-1-eu-west-1.cloud.databricks.com/editor/notebooks/3472954447235744?o=581285931040572#command/3472954447235747</t>
  </si>
  <si>
    <t>3.2.1(staging execute referencedb wind)</t>
  </si>
  <si>
    <t>https://ui-stage-1-eu-west-1.cloud.databricks.com/editor/notebooks/3346333393634600?o=2557749522913591#command/6954121025376220</t>
  </si>
  <si>
    <t>9.2.1(prod USP ensemble training link wind)</t>
  </si>
  <si>
    <t>https://ui-prod-1-eu-west-1.cloud.databricks.com/jobs/85347741001741?o=581285931040572</t>
  </si>
  <si>
    <t>site24x7</t>
  </si>
  <si>
    <t>https://eur01.safelinks.protection.outlook.com/?url=https%3A%2F%2Fwww.site24x7.com%2Fapp%2Fclient%23%2Frum%2Frum%2Fdetails%2F471930000001954033%2FSummary%2FhH%3Flogs%3Dfalse&amp;data=05%7C02%7Chaaja%40vestas.com%7Cffc6dbf340f8417fc9b108ddbf7fdbe2%7Cc07019407b3f4116a59f159078bc3c63%7C0%7C0%7C638877278058504664%7CUnknown%7CTWFpbGZsb3d8eyJFbXB0eU1hcGkiOnRydWUsIlYiOiIwLjAuMDAwMCIsIlAiOiJXaW4zMiIsIkFOIjoiTWFpbCIsIldUIjoyfQ%3D%3D%7C0%7C%7C%7C&amp;sdata=0nUtKxhTek%2Fh27%2FLM4mk7kosjD7BT4mJ2VkXy9PjQLo%3D&amp;reserved=0</t>
  </si>
  <si>
    <t>24x7</t>
  </si>
  <si>
    <t>Scipher-rx</t>
  </si>
  <si>
    <t>SOP tracking sheet</t>
  </si>
  <si>
    <t>https://vestas-my.sharepoint.com/:x:/r/personal/salau_vestas_com/_layouts/15/Doc.aspx?sourcedoc=%7B0030F2FB-6873-4E20-BEAA-9713ED4BAAA9%7D&amp;file=Rx%20Confluence%20links.xlsx&amp;action=default&amp;mobileredirect=true&amp;CID=7DF36CA1-03BC-4E66-8A07-284D011C9F4C&amp;wdLOR=c37298114-3309-4E82-A5B1-35FEFC8CD98B</t>
  </si>
  <si>
    <t>RX SOP tracking sheet</t>
  </si>
  <si>
    <t>https://utopusinsights.atlassian.net/wiki/spaces/~343206481/pages/3701244127/Tracking+RX+Sops+and+automation+links+-Rx</t>
  </si>
  <si>
    <t>prod confluence</t>
  </si>
  <si>
    <t>https://eur01.safelinks.protection.outlook.com/?url=https%3A%2F%2Futopusinsights.atlassian.net%2Fwiki%2Fspaces%2FPUL%2Fpages%2F2804318646%2FRx%2BProduct%2BOperations%3Fatl_f%3DPAGETREE&amp;data=05%7C02%7Chaaja%40vestas.com%7Cffc6dbf340f8417fc9b108ddbf7fdbe2%7Cc07019407b3f4116a59f159078bc3c63%7C0%7C0%7C638877278058401641%7CUnknown%7CTWFpbGZsb3d8eyJFbXB0eU1hcGkiOnRydWUsIlYiOiIwLjAuMDAwMCIsIlAiOiJXaW4zMiIsIkFOIjoiTWFpbCIsIldUIjoyfQ%3D%3D%7C0%7C%7C%7C&amp;sdata=3L%2BXwYxvwT9VNLyftFc0godVYpL2fhhIMwE0td2yFRo%3D&amp;reserved=0</t>
  </si>
  <si>
    <t>RCA template</t>
  </si>
  <si>
    <t>https://eur01.safelinks.protection.outlook.com/?url=https%3A%2F%2Futopusinsights.atlassian.net%2Fwiki%2Fspaces%2FPUL%2Fpages%2F3451650049%2FRCA&amp;data=05%7C02%7Chaaja%40vestas.com%7Cffc6dbf340f8417fc9b108ddbf7fdbe2%7Cc07019407b3f4116a59f159078bc3c63%7C0%7C0%7C638877278058519398%7CUnknown%7CTWFpbGZsb3d8eyJFbXB0eU1hcGkiOnRydWUsIlYiOiIwLjAuMDAwMCIsIlAiOiJXaW4zMiIsIkFOIjoiTWFpbCIsIldUIjoyfQ%3D%3D%7C0%7C%7C%7C&amp;sdata=rHQxRC1DIVkSaw2QZB5wIasAEkAxs40PWdnWuwVwZkQ%3D&amp;reserved=0</t>
  </si>
  <si>
    <t>Asset inventory</t>
  </si>
  <si>
    <t>https://utopusinsights.atlassian.net/wiki/spaces/PUL/pages/2824437902/Reporting+-+Asset+Inventory+Report</t>
  </si>
  <si>
    <t>Scoped Turbine Report</t>
  </si>
  <si>
    <t>https://utopusinsights.atlassian.net/wiki/spaces/PUL/pages/2824437919/Reporting+-+Scoped+Turbine+Report</t>
  </si>
  <si>
    <t>Alert Tracker</t>
  </si>
  <si>
    <t>https://utopusinsights.atlassian.net/wiki/spaces/PUL/pages/2823913732/Reporting+-+Alert+Tracker+Report</t>
  </si>
  <si>
    <t>Reporting Turbine onboarding status report</t>
  </si>
  <si>
    <t>https://utopusinsights.atlassian.net/wiki/spaces/PUL/pages/3541860393/Reporting+-+Turbine+onboarding+status+report</t>
  </si>
  <si>
    <t>DEV</t>
  </si>
  <si>
    <t>https://ui-dev-1-eu-west-1.cloud.databricks.com/login.html?tuuid=c9c2d006-f4f3-4462-8a01-6c227182f049</t>
  </si>
  <si>
    <t>QA</t>
  </si>
  <si>
    <t>https://ui-qa-1-eu-west-1.cloud.databricks.com/login.html?tuuid=7f3f7f3c-6e38-43f2-abf8-d7bb4a9f0bad</t>
  </si>
  <si>
    <t>STAGE</t>
  </si>
  <si>
    <t>https://ui-stage-1-eu-west-1.cloud.databricks.com/?o=2557749522913591</t>
  </si>
  <si>
    <t>PROD</t>
  </si>
  <si>
    <t>https://ui-prod-1-eu-west-1.cloud.databricks.com/?o=581285931040572</t>
  </si>
  <si>
    <t>Rx pipelines</t>
  </si>
  <si>
    <t>https://eur01.safelinks.protection.outlook.com/?url=https%3A%2F%2Fapp.datadoghq.com%2Fdashboard%2F9nk-vkb-vxa%2Frx-pipeline-monitoring%3FfromUser%3Dfalse%26refresh_mode%3Dsliding%26from_ts%3D1740458145010%26to_ts%3D1740461745010%26live%3Dtrue&amp;data=05%7C02%7Chaaja%40vestas.com%7Cffc6dbf340f8417fc9b108ddbf7fdbe2%7Cc07019407b3f4116a59f159078bc3c63%7C0%7C0%7C638877278058456306%7CUnknown%7CTWFpbGZsb3d8eyJFbXB0eU1hcGkiOnRydWUsIlYiOiIwLjAuMDAwMCIsIlAiOiJXaW4zMiIsIkFOIjoiTWFpbCIsIldUIjoyfQ%3D%3D%7C0%7C%7C%7C&amp;sdata=4zKJ8vxXGddqtKKHcz2edNU2Oonjqy%2FpG4MHo6zW6js%3D&amp;reserved=0</t>
  </si>
  <si>
    <t>DR dashboard</t>
  </si>
  <si>
    <t>https://eur01.safelinks.protection.outlook.com/?url=https%3A%2F%2Fapp.datadoghq.com%2Fdashboard%2Fta6-wrk-4zk%2Fdataflow%3FfromUser%3Dfalse%26refresh_mode%3Dsliding%26from_ts%3D1752027936315%26to_ts%3D1752042336315%26live%3Dtrue&amp;data=05%7C02%7Chaaja%40vestas.com%7Cffc6dbf340f8417fc9b108ddbf7fdbe2%7Cc07019407b3f4116a59f159078bc3c63%7C0%7C0%7C638877278058472452%7CUnknown%7CTWFpbGZsb3d8eyJFbXB0eU1hcGkiOnRydWUsIlYiOiIwLjAuMDAwMCIsIlAiOiJXaW4zMiIsIkFOIjoiTWFpbCIsIldUIjoyfQ%3D%3D%7C0%7C%7C%7C&amp;sdata=fzZhmCuaE%2FIborzVy6U0BBTBB1JCXcng59tASBdtfpU%3D&amp;reserved=0</t>
  </si>
  <si>
    <t>ta6-wrk-4zk-dataflow</t>
  </si>
  <si>
    <t>https://eur01.safelinks.protection.outlook.com/?url=https%3A%2F%2Fhyc86517.live.dynatrace.com%2Fui%2Fdashboards%3Fgtf%3D-2h%26gf%3Dall&amp;data=05%7C02%7Chaaja%40vestas.com%7Cffc6dbf340f8417fc9b108ddbf7fdbe2%7Cc07019407b3f4116a59f159078bc3c63%7C0%7C0%7C638877278058487788%7CUnknown%7CTWFpbGZsb3d8eyJFbXB0eU1hcGkiOnRydWUsIlYiOiIwLjAuMDAwMCIsIlAiOiJXaW4zMiIsIkFOIjoiTWFpbCIsIldUIjoyfQ%3D%3D%7C0%7C%7C%7C&amp;sdata=ISi3BXb1AvZ53jfk%2BzztDlV0nOXXBCa9kyjEFT6xO%2B8%3D&amp;reserved=0</t>
  </si>
  <si>
    <t>FPOC</t>
  </si>
  <si>
    <t>https://vestas-my.sharepoint.com/:x:/r/personal/haaja_vestas_com/Documents/Hari/Vestas/Docs/Scipher-Rx/Scipher.RxOps%20FPOC%20details/FPOC_2025_RxOps.xlsx?d=wd480859f0bb643918480bc302d63c2e2&amp;csf=1&amp;web=1&amp;e=NtfB1y</t>
  </si>
  <si>
    <t>tech talk</t>
  </si>
  <si>
    <t>https://vestas-my.sharepoint.com/:f:/r/personal/haaja_vestas_com/Documents/Hari/Vestas/Docs/Scipher-Rx/Ops%20Tech%20Talk%20sessions?csf=1&amp;web=1&amp;e=H3n4eZ</t>
  </si>
  <si>
    <t>RCA vestas format</t>
  </si>
  <si>
    <t>https://vestas-my.sharepoint.com/:x:/r/personal/roini_vestas_com/_layouts/15/Doc.aspx?sourcedoc=%7BD2F9E6D2-DBD8-4577-92B3-E65683FC2248%7D&amp;file=RCA_Rx_User_Access_Update_20240917.xlsx&amp;action=default&amp;mobileredirect=true</t>
  </si>
  <si>
    <t>Report tracker sheet</t>
  </si>
  <si>
    <t>https://vestas-my.sharepoint.com/:x:/r/personal/roini_vestas_com/_layouts/15/Doc.aspx?sourcedoc=%7BEF511578-FE46-4F1E-944A-115A344656FB%7D&amp;file=Weekly%20&amp;%20monthly%20reports%20tracker-2025.xlsx=&amp;action=default&amp;mobileredirect=true</t>
  </si>
  <si>
    <t>Deployment pipeline</t>
  </si>
  <si>
    <t>http://jenkins.admin.eu-west-1.utopusinsights.io/</t>
  </si>
  <si>
    <t>jenkins</t>
  </si>
  <si>
    <t>Code repository-scip</t>
  </si>
  <si>
    <t>https://bitbucket.org/utopusinsights/workspace/projects/SCIP</t>
  </si>
  <si>
    <t>Code repository-sup</t>
  </si>
  <si>
    <t>https://bitbucket.org/utopusinsights/workspace/projects/SUP</t>
  </si>
  <si>
    <t>Rx One Jira</t>
  </si>
  <si>
    <t>https://onejira.tools.vestas.net/projects/RX/issues/RX-295?filter=allopenissues</t>
  </si>
  <si>
    <t>jira</t>
  </si>
  <si>
    <t>SUPERNOVA (DE – One Jira)</t>
  </si>
  <si>
    <t>https://onejira.tools.vestas.net/projects/SCIPHERDE/issues/SCIPHERDE-198?filter=allopenissues</t>
  </si>
  <si>
    <t>Rx support One Jira</t>
  </si>
  <si>
    <t>https://onejira.tools.vestas.net/projects/RXSUPPORT/issues/RXSUPPORT-15?filter=allopenissues</t>
  </si>
  <si>
    <t>Pulse DS Board</t>
  </si>
  <si>
    <t>https://utopusinsights.atlassian.net/jira/software/c/projects/PD/boards/80?assignee=60a20ab620ad1b00703a9911&amp;assignee=5b568d266615e92d30d82cfa&amp;assignee=5c6ec1505b4c267532743bd7</t>
  </si>
  <si>
    <t>kafka topic monitor</t>
  </si>
  <si>
    <t>https://utopusinsights.atlassian.net/wiki/spaces/~343206481/pages/2375974927/Kafka+Topic+Monitoring</t>
  </si>
  <si>
    <t>kafka</t>
  </si>
  <si>
    <t>Monitors details along with release dates</t>
  </si>
  <si>
    <t>https://eur01.safelinks.protection.outlook.com/?url=https%3A%2F%2Fapp.powerbi.com%2Fgroups%2F02abe290-5d39-4950-82f4-831cdb9e2b0b%2Freports%2Fd50b88e3-7e6b-4cbe-a9fd-19830934e90f%2Fd7622c277bcd400e06bd%3Fexperience%3Dpower-bi&amp;data=05%7C02%7Chaaja%40vestas.com%7Cffc6dbf340f8417fc9b108ddbf7fdbe2%7Cc07019407b3f4116a59f159078bc3c63%7C0%7C0%7C638877278058077258%7CUnknown%7CTWFpbGZsb3d8eyJFbXB0eU1hcGkiOnRydWUsIlYiOiIwLjAuMDAwMCIsIlAiOiJXaW4zMiIsIkFOIjoiTWFpbCIsIldUIjoyfQ%3D%3D%7C0%7C%7C%7C&amp;sdata=SkW7wkqmTJxkqxaye5KcT2qtj0lv9kzHL1fnH98cHqY%3D&amp;reserved=0</t>
  </si>
  <si>
    <t>Rx Databricks job monitoring</t>
  </si>
  <si>
    <t>https://eur01.safelinks.protection.outlook.com/?url=https%3A%2F%2Fapp.powerbi.com%2Fgroups%2F02abe290-5d39-4950-82f4-831cdb9e2b0b%2Freports%2F1bb8da1b-6be7-4e5b-9cca-810b8bdd8b7f%2Fed270c8f6c1ac08b2777%3Fexperience%3Dpower-bi&amp;data=05%7C02%7Chaaja%40vestas.com%7Cffc6dbf340f8417fc9b108ddbf7fdbe2%7Cc07019407b3f4116a59f159078bc3c63%7C0%7C0%7C638877278058110306%7CUnknown%7CTWFpbGZsb3d8eyJFbXB0eU1hcGkiOnRydWUsIlYiOiIwLjAuMDAwMCIsIlAiOiJXaW4zMiIsIkFOIjoiTWFpbCIsIldUIjoyfQ%3D%3D%7C0%7C%7C%7C&amp;sdata=xwDuH2%2BEq8z06JIs92ba65ozxFLsZBNTxvO%2F6yJC%2F1o%3D&amp;reserved=0</t>
  </si>
  <si>
    <t>PowerBI dashboards for RM job workflow details - weekly</t>
  </si>
  <si>
    <t>https://eur01.safelinks.protection.outlook.com/?url=https%3A%2F%2Fapp.powerbi.com%2Fgroups%2F02abe290-5d39-4950-82f4-831cdb9e2b0b%2Freports%2Fc9ea47ee-90ec-4443-8f88-6c53753c278e%2Fb4688da4f710b9015745%3Fexperience%3Dpower-bi&amp;data=05%7C02%7Chaaja%40vestas.com%7Cffc6dbf340f8417fc9b108ddbf7fdbe2%7Cc07019407b3f4116a59f159078bc3c63%7C0%7C0%7C638877278058129610%7CUnknown%7CTWFpbGZsb3d8eyJFbXB0eU1hcGkiOnRydWUsIlYiOiIwLjAuMDAwMCIsIlAiOiJXaW4zMiIsIkFOIjoiTWFpbCIsIldUIjoyfQ%3D%3D%7C0%7C%7C%7C&amp;sdata=Wiu6MYATkHp92RclCNdjeL6YgE%2FrocUbrGphy9Az7yg%3D&amp;reserved=0</t>
  </si>
  <si>
    <t>Monitor to Turbine</t>
  </si>
  <si>
    <t>https://eur01.safelinks.protection.outlook.com/?url=https%3A%2F%2Fapp.powerbi.com%2Fgroups%2F02abe290-5d39-4950-82f4-831cdb9e2b0b%2Freports%2Fe4f33055-7756-4cc6-b06b-07c8d7d70def%2F645f597b9d9e004a7d45%3Fexperience%3Dpower-bi&amp;data=05%7C02%7Chaaja%40vestas.com%7Cffc6dbf340f8417fc9b108ddbf7fdbe2%7Cc07019407b3f4116a59f159078bc3c63%7C0%7C0%7C638877278058146659%7CUnknown%7CTWFpbGZsb3d8eyJFbXB0eU1hcGkiOnRydWUsIlYiOiIwLjAuMDAwMCIsIlAiOiJXaW4zMiIsIkFOIjoiTWFpbCIsIldUIjoyfQ%3D%3D%7C0%7C%7C%7C&amp;sdata=ciE4g5fTyjiOWwcnacqDDHhMCk1B7AdKI92ahq%2BMjP8%3D&amp;reserved=0</t>
  </si>
  <si>
    <t>ROC SLA dashboard</t>
  </si>
  <si>
    <t>https://eur01.safelinks.protection.outlook.com/?url=https%3A%2F%2Fapp.powerbi.com%2Fgroups%2Fa43ff017-cf9d-4bc6-b551-81813af5f7cb%2Freports%2F8f7e0aab-2b66-4d9d-a765-5ad8f2deac95%2F2ec25cef5fcb1b64ab63%3Fexperience%3Dpower-bi&amp;data=05%7C02%7Chaaja%40vestas.com%7Cffc6dbf340f8417fc9b108ddbf7fdbe2%7Cc07019407b3f4116a59f159078bc3c63%7C0%7C0%7C638877278058163089%7CUnknown%7CTWFpbGZsb3d8eyJFbXB0eU1hcGkiOnRydWUsIlYiOiIwLjAuMDAwMCIsIlAiOiJXaW4zMiIsIkFOIjoiTWFpbCIsIldUIjoyfQ%3D%3D%7C0%7C%7C%7C&amp;sdata=FC5F8Y22hCnBOFUNmYoNxPU9M%2BQqxmI9n1kUkbtUVsc%3D&amp;reserved=0</t>
  </si>
  <si>
    <t>Rx DS jobs monitoring</t>
  </si>
  <si>
    <t>https://eur01.safelinks.protection.outlook.com/?url=https%3A%2F%2Fapp.powerbi.com%2Fgroups%2Fme%2Freports%2F78946be4-c1b8-426f-8a57-7417019f2ebf%2FReportSection3a3e5dc301bac9e14dd2%3Fctid%3Dc0701940-7b3f-4116-a59f-159078bc3c63%26experience%3Dpower-bi&amp;data=05%7C02%7Chaaja%40vestas.com%7Cffc6dbf340f8417fc9b108ddbf7fdbe2%7Cc07019407b3f4116a59f159078bc3c63%7C0%7C0%7C638877278058178603%7CUnknown%7CTWFpbGZsb3d8eyJFbXB0eU1hcGkiOnRydWUsIlYiOiIwLjAuMDAwMCIsIlAiOiJXaW4zMiIsIkFOIjoiTWFpbCIsIldUIjoyfQ%3D%3D%7C0%7C%7C%7C&amp;sdata=Q4P%2FyRufzBg0TK2RVktSc2tH0HOMy4%2BdrBiGpGWyWV0%3D&amp;reserved=0</t>
  </si>
  <si>
    <t>ROC monitors scoring details</t>
  </si>
  <si>
    <t>https://eur01.safelinks.protection.outlook.com/?url=https%3A%2F%2Fapp.powerbi.com%2Fgroups%2F02abe290-5d39-4950-82f4-831cdb9e2b0b%2Freports%2Fc1ac545f-55e6-4d72-a78e-5682b5a7debe%2F322369610957ab73ccc4%3Fexperience%3Dpower-bi&amp;data=05%7C02%7Chaaja%40vestas.com%7Cffc6dbf340f8417fc9b108ddbf7fdbe2%7Cc07019407b3f4116a59f159078bc3c63%7C0%7C0%7C638877278058194278%7CUnknown%7CTWFpbGZsb3d8eyJFbXB0eU1hcGkiOnRydWUsIlYiOiIwLjAuMDAwMCIsIlAiOiJXaW4zMiIsIkFOIjoiTWFpbCIsIldUIjoyfQ%3D%3D%7C0%7C%7C%7C&amp;sdata=Vq7lJJouK0y%2Brd7L8M%2FTMbxm4fgNa4UlPOOQk6o1hGQ%3D&amp;reserved=0</t>
  </si>
  <si>
    <t>Rx Performance Analytics - Power BI</t>
  </si>
  <si>
    <t>https://eur01.safelinks.protection.outlook.com/?url=https%3A%2F%2Fapp.powerbi.com%2Fgroups%2Fme%2Freports%2Fc0a24d2d-63e5-450c-9a7a-8be16e347edf%2FReportSection4c9dcc117b6e5a28109b%3FclientSideAuth%3D0%26experience%3Dpower-bi&amp;data=05%7C02%7Chaaja%40vestas.com%7Cffc6dbf340f8417fc9b108ddbf7fdbe2%7Cc07019407b3f4116a59f159078bc3c63%7C0%7C0%7C638877278058227915%7CUnknown%7CTWFpbGZsb3d8eyJFbXB0eU1hcGkiOnRydWUsIlYiOiIwLjAuMDAwMCIsIlAiOiJXaW4zMiIsIkFOIjoiTWFpbCIsIldUIjoyfQ%3D%3D%7C0%7C%7C%7C&amp;sdata=knGBd%2BMIcylmXeumsRiaFh%2BEgSOabN0HwnxmPH6DFxU%3D&amp;reserved=0</t>
  </si>
  <si>
    <t>Vestas AlarmList</t>
  </si>
  <si>
    <t>http://vtm.vestas.net/AlarmList.aspx  </t>
  </si>
  <si>
    <t>SBU KPI Dashboard - Power BI   </t>
  </si>
  <si>
    <t>https://eur01.safelinks.protection.outlook.com/?url=https%3A%2F%2Fapp.powerbi.com%2Fgroups%2Fme%2Fapps%2Fce04de0c-d246-4988-a495-a6ca71293083%2Freports%2Ff376910f-6e0a-4f02-9d8f-a88719a1d3f6%2FReportSectionc287499184ff006400c9%3Fctid%3Dc0701940-7b3f-4116-a59f-159078bc3c63%26experience%3Dpower-bi&amp;data=05%7C02%7Chaaja%40vestas.com%7Cffc6dbf340f8417fc9b108ddbf7fdbe2%7Cc07019407b3f4116a59f159078bc3c63%7C0%7C0%7C638877278058249195%7CUnknown%7CTWFpbGZsb3d8eyJFbXB0eU1hcGkiOnRydWUsIlYiOiIwLjAuMDAwMCIsIlAiOiJXaW4zMiIsIkFOIjoiTWFpbCIsIldUIjoyfQ%3D%3D%7C0%7C%7C%7C&amp;sdata=UHmAEWoWvuG7mR3swy8u24vnxHrqIZ7xEawdMS1GWPY%3D&amp;reserved=0</t>
  </si>
  <si>
    <t>VIS - Power BI </t>
  </si>
  <si>
    <t>https://eur01.safelinks.protection.outlook.com/?url=https%3A%2F%2Fapp.powerbi.com%2Fgroups%2Fme%2Frdlreports%2F9c25f455-a474-4590-8a8b-53e5cae1eb21%3Fctid%3Dc0701940-7b3f-4116-a59f-159078bc3c63%26experience%3Dpower-bi&amp;data=05%7C02%7Chaaja%40vestas.com%7Cffc6dbf340f8417fc9b108ddbf7fdbe2%7Cc07019407b3f4116a59f159078bc3c63%7C0%7C0%7C638877278058266396%7CUnknown%7CTWFpbGZsb3d8eyJFbXB0eU1hcGkiOnRydWUsIlYiOiIwLjAuMDAwMCIsIlAiOiJXaW4zMiIsIkFOIjoiTWFpbCIsIldUIjoyfQ%3D%3D%7C0%7C%7C%7C&amp;sdata=L31VB0uKF%2F18dqCq2i8X%2BoYxHgprbMX8X6iN%2FnJwRCM%3D&amp;reserved=0</t>
  </si>
  <si>
    <t>https://eur01.safelinks.protection.outlook.com/?url=https%3A%2F%2Futopusinsights.lightning.force.com%2Fone%2Fone.app%23eyJjb21wb25lbnREZWYiOiJkZXNrdG9wRGFzaGJvYXJkczpkYXNoYm9hcmQiLCJhdHRyaWJ1dGVzIjp7ImRhc2hib2FyZElkIjoiMDFaN0YwMDAwMDE1aHBaVUFRIiwiZGlzcGxheU1vZGUiOiJlZGl0In0sInN0YXRlIjp7fX0%253D&amp;data=05%7C02%7Chaaja%40vestas.com%7Cffc6dbf340f8417fc9b108ddbf7fdbe2%7Cc07019407b3f4116a59f159078bc3c63%7C0%7C0%7C638877278058609428%7CUnknown%7CTWFpbGZsb3d8eyJFbXB0eU1hcGkiOnRydWUsIlYiOiIwLjAuMDAwMCIsIlAiOiJXaW4zMiIsIkFOIjoiTWFpbCIsIldUIjoyfQ%3D%3D%7C0%7C%7C%7C&amp;sdata=j1PrcunJPBQYJRH8BtkUx6QySf171%2BxHejgYUCDlA5I%3D&amp;reserved=0</t>
  </si>
  <si>
    <t>salesforce</t>
  </si>
  <si>
    <t>Alerts and Job failures</t>
  </si>
  <si>
    <t>https://eur01.safelinks.protection.outlook.com/?url=https%3A%2F%2Fteams.microsoft.com%2Fl%2Fteam%2F19%253Aor7SWZZ8hcuVPy1f7N1k8G3oND-VZS2VxA0c01gx5rI1%2540thread.tacv2%2Fconversations%3FgroupId%3D5b28481d-853b-4eda-959b-36117004abf3%26tenantId%3Dc0701940-7b3f-4116-a59f-159078bc3c63&amp;data=05%7C02%7Chaaja%40vestas.com%7Cffc6dbf340f8417fc9b108ddbf7fdbe2%7Cc07019407b3f4116a59f159078bc3c63%7C0%7C0%7C638877278058312524%7CUnknown%7CTWFpbGZsb3d8eyJFbXB0eU1hcGkiOnRydWUsIlYiOiIwLjAuMDAwMCIsIlAiOiJXaW4zMiIsIkFOIjoiTWFpbCIsIldUIjoyfQ%3D%3D%7C0%7C%7C%7C&amp;sdata=l2wInBt6%2FdRGqlkMzPimrY6HCGzfjiL7aryUo2Zpj%2Bc%3D&amp;reserved=0</t>
  </si>
  <si>
    <t>Datadog monitoring</t>
  </si>
  <si>
    <t>https://teams.microsoft.com/l/channel/19%3A672daacea3d04df59d9eb88c3cc688b7%40thread.tacv2/Rx_datadog_monitoring?groupId=5b28481d-853b-4eda-959b-36117004abf3&amp;tenantId=c0701940-7b3f-4116-a59f-159078bc3c63</t>
  </si>
  <si>
    <t>ROC user monitoring</t>
  </si>
  <si>
    <t>https://teams.microsoft.com/l/channel/19%3A5915f1c6f7694ce3affc90a55f5c37b3%40thread.tacv2/Scipher_Rx_ROC_User_Monitoring?groupId=5b28481d-853b-4eda-959b-36117004abf3&amp;tenantId=c0701940-7b3f-4116-a59f-159078bc3c63</t>
  </si>
  <si>
    <t>RX CMS LF data monitoring</t>
  </si>
  <si>
    <t>https://teams.microsoft.com/l/channel/19%3Abb69a9ef7bd84c09bf0237403ab1add0%40thread.tacv2/Scipher.Rx_CMS_LF_data_availability_report?groupId=5b28481d-853b-4eda-959b-36117004abf3&amp;tenantId=c0701940-7b3f-4116-a59f-159078bc3c63</t>
  </si>
  <si>
    <t>Rx+</t>
  </si>
  <si>
    <t>https://utopusinsights.atlassian.net/wiki/spaces/~343206481/pages/3403153435/Scipher.Rx+-+2025</t>
  </si>
  <si>
    <t>tools</t>
  </si>
  <si>
    <t>Release management</t>
  </si>
  <si>
    <t>https://utopusinsights.atlassian.net/wiki/spaces/~343206481/pages/2623438854/Rx+Production+Release</t>
  </si>
  <si>
    <t>Omada</t>
  </si>
  <si>
    <t>https://access.vestas.net/home</t>
  </si>
  <si>
    <t>vestas</t>
  </si>
  <si>
    <t>platform team</t>
  </si>
  <si>
    <t>https://eur01.safelinks.protection.outlook.com/?url=https%3A%2F%2Fvestas.visualstudio.com%2FData%2520Platform%2520Product%2520Area%2F_backlogs%2Fbacklog%2FScipher%2520Platform%2520Engineering%2FStories&amp;data=05%7C02%7Chaaja%40vestas.com%7Cffc6dbf340f8417fc9b108ddbf7fdbe2%7Cc07019407b3f4116a59f159078bc3c63%7C0%7C0%7C638877278058439814%7CUnknown%7CTWFpbGZsb3d8eyJFbXB0eU1hcGkiOnRydWUsIlYiOiIwLjAuMDAwMCIsIlAiOiJXaW4zMiIsIkFOIjoiTWFpbCIsIldUIjoyfQ%3D%3D%7C0%7C%7C%7C&amp;sdata=GaQ3gIpXFPKL8lZFRc71Joorq%2FYww69LCkqrKO5qT%2FQ%3D&amp;reserved=0</t>
  </si>
  <si>
    <t>vs-code</t>
  </si>
  <si>
    <t>Scipher.Rx turbine Onboarding Status</t>
  </si>
  <si>
    <t>http://10.32.86.49:5000/</t>
  </si>
  <si>
    <t>splunk</t>
  </si>
  <si>
    <t>https://platform.securityscorecard.io/#/scorecard/scipher.io/company-overview</t>
  </si>
  <si>
    <t>ssc</t>
  </si>
  <si>
    <t>SOC</t>
  </si>
  <si>
    <t>Artifacts</t>
  </si>
  <si>
    <t>https://eu-west-1.console.aws.amazon.com/s3/buckets/fx-ds-model-artifacts-prod?region=eu-west-1&amp;bucketType=general&amp;prefix=outputs/&amp;showversions=false</t>
  </si>
  <si>
    <t>Model configs link</t>
  </si>
  <si>
    <t>https://eu-west-1.console.aws.amazon.com/s3/buckets/fx-ds-model-artifacts-prod?prefix=inputs/&amp;region=eu-west-1&amp;bucketType=general</t>
  </si>
  <si>
    <t>Fargate logs link</t>
  </si>
  <si>
    <t>EKS logs link</t>
  </si>
  <si>
    <t>https://eu-west-1.console.aws.amazon.com/cloudwatch/home?region=eu-west-1#logsV2:log-groups/log-group/$252Faws$252Fcontainerinsights$252Fprod-scipher-fx-eks-v2$252Fapplication</t>
  </si>
  <si>
    <t>JSON file creation</t>
  </si>
  <si>
    <t>https://ui-prod-1-eu-west-1.cloud.databricks.com/?o=581285931040572#notebook/3634974336031089/command/3522575043309082</t>
  </si>
  <si>
    <t>YAML Config Generation</t>
  </si>
  <si>
    <t>https://ui-prod-1-eu-west-1.cloud.databricks.com/?o=581285931040572#notebook/3791702064409258/command/672532372579086</t>
  </si>
  <si>
    <t>NWP Dashboard</t>
  </si>
  <si>
    <t>http://172.19.0.189:5000/nwpdash</t>
  </si>
  <si>
    <t>Advanced Monitoring Tool</t>
  </si>
  <si>
    <t>http://172.19.0.189:5000/accuracy_monitoring_dashboard?</t>
  </si>
  <si>
    <t>Leadership Dashboard</t>
  </si>
  <si>
    <t>http://10.32.86.75:5000/management_dashboard</t>
  </si>
  <si>
    <t>NWP Forecasting Latency Dashboard</t>
  </si>
  <si>
    <t>https://utopusinsights.atlassian.net/wiki/spaces/HYP/pages/2222751774</t>
  </si>
  <si>
    <t>Live weather</t>
  </si>
  <si>
    <t>https://utopusinsights.atlassian.net/wiki/spaces/HYP/pages/523470005/Fast+Store+Live+Weather+Data+L…</t>
  </si>
  <si>
    <t>Live Measurement</t>
  </si>
  <si>
    <t>https://utopusinsights.atlassian.net/wiki/spaces/HYP/pages/203129706/Fast+Store+Live+and+Aggregated…</t>
  </si>
  <si>
    <t>https://ui-prod-1-eu-west-1.cloud.databricks.com/jobs/923271709339717?o=581285931040572</t>
  </si>
  <si>
    <t>3.2.1(prod NWP scoring wind)</t>
  </si>
  <si>
    <t>1.8.0(prod NWP scoring wind)</t>
  </si>
  <si>
    <t>https://ui-prod-1-eu-west-1.cloud.databricks.com/jobs/571585190125822?o=581285931040572</t>
  </si>
  <si>
    <t>2.3.0(prod NWP Scoring wind)</t>
  </si>
  <si>
    <t>https://ui-prod-1-eu-west-1.cloud.databricks.com/jobs/843106804947736?o=581285931040572</t>
  </si>
  <si>
    <t>6.0.0(prod NWP scoring solar)</t>
  </si>
  <si>
    <t>https://ui-prod-1-eu-west-1.cloud.databricks.com/jobs/1071731916706370?o=581285931040572</t>
  </si>
  <si>
    <t>6.0.0(prod NWP registration solar)</t>
  </si>
  <si>
    <t>https://ui-prod-1-eu-west-1.cloud.databricks.com/jobs/56702502650677?o=581285931040572</t>
  </si>
  <si>
    <t>Advance monitoring tool backend end job</t>
  </si>
  <si>
    <t>https://ui-prod-1-eu-west-1.cloud.databricks.com/jobs/617689480729760?o=581285931040572</t>
  </si>
  <si>
    <t>Fx scoring property active staging</t>
  </si>
  <si>
    <t>https://ui-stage-1-eu-west-1.cloud.databricks.com/editor/notebooks/3087764629935277/dashboards/342ead04-cffb-42d6-88dc-e295b24db965?o=2557749522913591</t>
  </si>
  <si>
    <t>Paid_live_customer_migration_list</t>
  </si>
  <si>
    <t>https://vestas-my.sharepoint.com/:x:/p/gaitu/ETykOiF_OmZOjf1aCMBtw-gBRTAS2Cvke-6rW1Ema2jnjA?e=sVEHRk</t>
  </si>
  <si>
    <t>Fx_farms_offboarding_2025</t>
  </si>
  <si>
    <t>https://vestas-my.sharepoint.com/:x:/r/personal/gaitu_vestas_com/_layouts/15/Doc.aspx?sourcedoc=%7B60032391-09E2-42BC-B915-AE807B291F3A%7D&amp;file=fx_farms_offboard_19_aug.xlsx&amp;wdLOR=cA89B62AA-FFD2-46DA-AF5A-5EDE1643D6D8&amp;fromShare=true&amp;action=default&amp;mobileredirect=true</t>
  </si>
  <si>
    <t>NWP dashboard</t>
  </si>
  <si>
    <t>http://172.19.0.189:5000/nwp</t>
  </si>
  <si>
    <t>Model Management Dashboards | FX Classic</t>
  </si>
  <si>
    <t>https://utopusinsights.atlassian.net/wiki/spaces/HYP/pages/195789170/Model+Management+Dashboards+FX+Classic</t>
  </si>
  <si>
    <t>Fx-lite Model Management Dashboards</t>
  </si>
  <si>
    <t>https://utopusinsights.atlassian.net/wiki/spaces/HYP/pages/887521301/Fx-lite+Model+Management+Dashboards</t>
  </si>
  <si>
    <t>Model Publication and Deployment v1.2 | FX Classic</t>
  </si>
  <si>
    <t>https://utopusinsights.atlassian.net/wiki/spaces/HYP/pages/473268521/Model+Publication+and+Deployment+v1.2+FX+Classic</t>
  </si>
  <si>
    <t>Model Un-Deployment - SOP</t>
  </si>
  <si>
    <t>https://utopusinsights.atlassian.net/wiki/spaces/HYP/pages/2806218753/Model+Un-Deployment+-+SOP</t>
  </si>
  <si>
    <t>https://roc-ddau.vestas.net/</t>
  </si>
  <si>
    <t>https://scipher.Fx.utopusinsights.io/</t>
  </si>
  <si>
    <t>Contract AI</t>
  </si>
  <si>
    <t>https://design.dataiku.vestas.net/projects/CONTRACTAI_POC/webapps/shHyoJG_indiaagentconnect/view</t>
  </si>
  <si>
    <t xml:space="preserve">A repeatable enterprise RAG/knowledge retrieval pattern built end-to-end in Dataiku Flow, designed for controlled, evidence-based answers from contract documents. A practical blueprint for turning unstructured PDFs into governed, searchable knowledge assets that can be consumed by agents, APIs, and downstream applications.  </t>
  </si>
  <si>
    <t>CSM</t>
  </si>
  <si>
    <t>csm</t>
  </si>
  <si>
    <t>Contract-AI</t>
  </si>
  <si>
    <t>manual-monitoring</t>
  </si>
  <si>
    <t>oil-monitoring</t>
  </si>
  <si>
    <t>https://scipher.secops.vestas.net/</t>
  </si>
  <si>
    <t xml:space="preserve">Grafana customer level-troubleshooting </t>
  </si>
  <si>
    <t>Grafana l1_troubleshoot</t>
  </si>
  <si>
    <t>The DDAU Automation Tool allows remote one‑click resetting of CMS (BKV – DDAU and DDAU2) devices from various modes by executing the required commands, helping avoid unnecessary turbine visits.</t>
  </si>
  <si>
    <t>The ROC currently performs manual cross‑checks to minimize downtime and ensure timely issue resolution. This application automates that entire process</t>
  </si>
  <si>
    <t>A tool that enables the ROC to track oil reports from more than 12 laboratories worldwide. Currently, the ROC has no system or dashboard in place for monitoring these reports.</t>
  </si>
  <si>
    <t>APAC</t>
  </si>
  <si>
    <t>Fx-UI - Farm Forecast | ALTA ANOIA Wind Farm - Scipher.Fx</t>
  </si>
  <si>
    <t>https://fx.scipher.io/forecast/farm-forecast?asset_id=394860</t>
  </si>
  <si>
    <t>https://wiki.tsw.vestas.net/spaces/SO/pages/512839050/Onboarding+template+-+Fx+Premium</t>
  </si>
  <si>
    <t>https://wiki.tsw.vestas.net/spaces/SO/pages/512837329/Onboarding+template+-+Fx+Basic</t>
  </si>
  <si>
    <t>https://wiki.tsw.vestas.net/spaces/SO/pages/512837554/Onboarding+template+-+Fx+Advanced</t>
  </si>
  <si>
    <t>Onboarding template - Fx Advanced - Scipher Operations</t>
  </si>
  <si>
    <t>Onboarding template - Fx Basic - Scipher Operations</t>
  </si>
  <si>
    <t>Onboarding template - Fx Premium - Scipher Operations</t>
  </si>
  <si>
    <t>accuracy _monitoring_ dashboard</t>
  </si>
  <si>
    <t>soc-x</t>
  </si>
  <si>
    <t>SecOps Dashboard</t>
  </si>
  <si>
    <t>Scorecard</t>
  </si>
  <si>
    <t>SKF Load</t>
  </si>
  <si>
    <t>BKV Load</t>
  </si>
  <si>
    <t xml:space="preserve">Manual Monitoring </t>
  </si>
  <si>
    <t>Oil Monitoring</t>
  </si>
  <si>
    <t>https://oilmonitoring.vestas.net</t>
  </si>
  <si>
    <t>https://sharpit-interim.vestas.net</t>
  </si>
  <si>
    <t>https://roc-mmcs.vestas.net/</t>
  </si>
  <si>
    <t>https://sca-apac.trainingplanner.vestas.net</t>
  </si>
  <si>
    <t>Bangalore Food app</t>
  </si>
  <si>
    <t>https://blr-hub.vestas.net/</t>
  </si>
  <si>
    <t>food-app</t>
  </si>
  <si>
    <t>scipher_ops</t>
  </si>
  <si>
    <t>https://vertex.vestas.net/</t>
  </si>
  <si>
    <t>Vertex</t>
  </si>
  <si>
    <t>The Instructor-Training Automation System represents a fundamental transformation in training operations—replacing manual, reactive processes with intelligent, priority-driven automation that delivers measurable ROI across efficiency, quality, and strategic alignment.</t>
  </si>
  <si>
    <t>VOB Automation</t>
  </si>
  <si>
    <t>SHARP-IT+INTERIM</t>
  </si>
  <si>
    <t>https://roc-vob-uam.vestas.net/</t>
  </si>
  <si>
    <t>VOB Automation ( in development)</t>
  </si>
  <si>
    <r>
      <rPr>
        <b/>
        <sz val="11"/>
        <color theme="1"/>
        <rFont val="Calibri"/>
        <family val="2"/>
      </rPr>
      <t xml:space="preserve">SHARP-IT </t>
    </r>
    <r>
      <rPr>
        <sz val="11"/>
        <color theme="1"/>
        <rFont val="Calibri"/>
        <family val="2"/>
        <charset val="1"/>
      </rPr>
      <t xml:space="preserve">is a comprehensive automation tool that streamlines workforce operations by automatically generating shift schedules, managing employee leave, producing shift handover reports, arranging cab bookings, and issuing automated monthly allowance email alerts.
</t>
    </r>
    <r>
      <rPr>
        <b/>
        <sz val="11"/>
        <color theme="1"/>
        <rFont val="Calibri"/>
        <family val="2"/>
      </rPr>
      <t>The Interim Distribution Tool</t>
    </r>
    <r>
      <rPr>
        <sz val="11"/>
        <color theme="1"/>
        <rFont val="Calibri"/>
        <family val="2"/>
        <charset val="1"/>
      </rPr>
      <t xml:space="preserve"> is a web-based application that automatically redistributes turbine‑monitoring responsibilities when engineers go on planned or unplanned leave. Instead of doing the process manually, the tool uses engineer skills, technologies, parks, CMS server data, and threshold limits to calculate a fair and rule‑based distribution.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</si>
</sst>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charset val="1"/>
    </font>
    <font>
      <b/>
      <sz val="11"/>
      <color theme="1"/>
      <name val="Calibri"/>
      <family val="2"/>
      <charset val="1"/>
    </font>
    <font>
      <u/>
      <sz val="11"/>
      <color theme="10"/>
      <name val="Calibri"/>
      <family val="2"/>
      <charset val="1"/>
    </font>
    <font>
      <sz val="11"/>
      <color rgb="FF000000"/>
      <name val="Calibri"/>
      <family val="2"/>
      <charset val="1"/>
    </font>
    <font>
      <b/>
      <sz val="11"/>
      <color theme="1"/>
      <name val="Calibri"/>
      <family val="2"/>
    </font>
    <font>
      <sz val="11"/>
      <color theme="1"/>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Border="0" applyProtection="0"/>
  </cellStyleXfs>
  <cellXfs count="16">
    <xf numFmtId="0" fontId="0" fillId="0" borderId="0" xfId="0"/>
    <xf numFmtId="0" fontId="0" fillId="0" borderId="0" xfId="0" applyAlignment="1">
      <alignment horizontal="center"/>
    </xf>
    <xf numFmtId="0" fontId="1" fillId="0" borderId="0" xfId="0" applyFont="1" applyAlignment="1">
      <alignment horizontal="center" vertical="center" wrapText="1"/>
    </xf>
    <xf numFmtId="0" fontId="0" fillId="0" borderId="0" xfId="0" applyAlignment="1">
      <alignment horizontal="center" vertical="center" wrapText="1"/>
    </xf>
    <xf numFmtId="0" fontId="2" fillId="0" borderId="0" xfId="1" applyBorder="1" applyAlignment="1" applyProtection="1">
      <alignment horizontal="center"/>
    </xf>
    <xf numFmtId="0" fontId="2" fillId="0" borderId="0" xfId="1" applyBorder="1" applyProtection="1"/>
    <xf numFmtId="0" fontId="0" fillId="0" borderId="0" xfId="0" applyAlignment="1">
      <alignment horizontal="left"/>
    </xf>
    <xf numFmtId="0" fontId="1" fillId="0" borderId="0" xfId="0" applyFont="1" applyAlignment="1">
      <alignment horizontal="left" vertical="center" wrapText="1"/>
    </xf>
    <xf numFmtId="0" fontId="3" fillId="0" borderId="0" xfId="0" applyFont="1"/>
    <xf numFmtId="0" fontId="3" fillId="0" borderId="0" xfId="0" applyFont="1" applyAlignment="1">
      <alignment horizontal="left"/>
    </xf>
    <xf numFmtId="0" fontId="3" fillId="0" borderId="0" xfId="0" applyFont="1" applyAlignment="1">
      <alignment wrapText="1"/>
    </xf>
    <xf numFmtId="0" fontId="2" fillId="0" borderId="0" xfId="1" applyBorder="1" applyAlignment="1" applyProtection="1">
      <alignment horizontal="left"/>
    </xf>
    <xf numFmtId="0" fontId="2" fillId="0" borderId="0" xfId="1"/>
    <xf numFmtId="0" fontId="0" fillId="0" borderId="0" xfId="0" applyAlignment="1">
      <alignment vertical="center" wrapText="1"/>
    </xf>
    <xf numFmtId="0" fontId="0" fillId="0" borderId="0" xfId="0" applyAlignment="1"/>
    <xf numFmtId="0" fontId="5" fillId="0" borderId="0" xfId="0" applyFont="1" applyAlignment="1">
      <alignment horizontal="center" wrapText="1"/>
    </xf>
  </cellXfs>
  <cellStyles count="2">
    <cellStyle name="Hyperlink" xfId="1" builtinId="8"/>
    <cellStyle name="Normal" xfId="0" builtinId="0"/>
  </cellStyles>
  <dxfs count="2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majorFont>
      <a:minorFont>
        <a:latin typeface="Calibri"/>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roc-ddau.vestas.net/" TargetMode="External"/><Relationship Id="rId2" Type="http://schemas.openxmlformats.org/officeDocument/2006/relationships/hyperlink" Target="https://sharpit-interim.vestas.net/" TargetMode="External"/><Relationship Id="rId1" Type="http://schemas.openxmlformats.org/officeDocument/2006/relationships/hyperlink" Target="https://oilmonitoring.vestas.net/" TargetMode="External"/><Relationship Id="rId5" Type="http://schemas.openxmlformats.org/officeDocument/2006/relationships/hyperlink" Target="https://roc-vob-uam.vestas.net/" TargetMode="External"/><Relationship Id="rId4" Type="http://schemas.openxmlformats.org/officeDocument/2006/relationships/hyperlink" Target="https://roc-mmcs.vestas.net/"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sca-apac.trainingplanner.vestas.net/"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scipher.fx.utopusinsights.io/" TargetMode="External"/><Relationship Id="rId2" Type="http://schemas.openxmlformats.org/officeDocument/2006/relationships/hyperlink" Target="https://scipher.vx.utopusinsights.io/" TargetMode="External"/><Relationship Id="rId1" Type="http://schemas.openxmlformats.org/officeDocument/2006/relationships/hyperlink" Target="https://scipher.rx.utopusinsights.io/" TargetMode="External"/></Relationships>
</file>

<file path=xl/worksheets/_rels/sheet6.xml.rels><?xml version="1.0" encoding="UTF-8" standalone="yes"?>
<Relationships xmlns="http://schemas.openxmlformats.org/package/2006/relationships"><Relationship Id="rId2" Type="http://schemas.openxmlformats.org/officeDocument/2006/relationships/hyperlink" Target="https://vertex.vestas.net/" TargetMode="External"/><Relationship Id="rId1" Type="http://schemas.openxmlformats.org/officeDocument/2006/relationships/hyperlink" Target="https://blr-hub.vestas.net/"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ui-prod-1-eu-west-1.cloud.databricks.com/jobs/921515074459259/tasks/di-prod-cms-bkv-siglimits-backfill-tier0-loader?o=581285931040572" TargetMode="External"/><Relationship Id="rId2" Type="http://schemas.openxmlformats.org/officeDocument/2006/relationships/hyperlink" Target="https://ui-prod-1-eu-west-1.cloud.databricks.com/jobs/505791510001414/tasks/di-prod-cms-skf-siglimits-tier0-backfill-loader?o=581285931040572" TargetMode="External"/><Relationship Id="rId1" Type="http://schemas.openxmlformats.org/officeDocument/2006/relationships/hyperlink" Target="https://app.powerbi.com/links/oYtMFYW2fC?ctid=c0701940-7b3f-4116-a59f-159078bc3c63&amp;pbi_source=linkShare" TargetMode="External"/><Relationship Id="rId4" Type="http://schemas.openxmlformats.org/officeDocument/2006/relationships/hyperlink" Target="https://scipher.vx.utopusinsights.io/" TargetMode="External"/></Relationships>
</file>

<file path=xl/worksheets/_rels/sheet8.xml.rels><?xml version="1.0" encoding="UTF-8" standalone="yes"?>
<Relationships xmlns="http://schemas.openxmlformats.org/package/2006/relationships"><Relationship Id="rId2" Type="http://schemas.openxmlformats.org/officeDocument/2006/relationships/hyperlink" Target="https://scipher.fx.utopusinsights.io/" TargetMode="External"/><Relationship Id="rId1" Type="http://schemas.openxmlformats.org/officeDocument/2006/relationships/hyperlink" Target="https://ui-prod-1-eu-west-1.cloud.databricks.com/editor/notebooks/3045471278205814?o=581285931040572" TargetMode="External"/></Relationships>
</file>

<file path=xl/worksheets/_rels/sheet9.xml.rels><?xml version="1.0" encoding="UTF-8" standalone="yes"?>
<Relationships xmlns="http://schemas.openxmlformats.org/package/2006/relationships"><Relationship Id="rId13" Type="http://schemas.openxmlformats.org/officeDocument/2006/relationships/hyperlink" Target="https://ui-prod-1-eu-west-1.cloud.databricks.com/?o=581285931040572" TargetMode="External"/><Relationship Id="rId18" Type="http://schemas.openxmlformats.org/officeDocument/2006/relationships/hyperlink" Target="https://vestas-my.sharepoint.com/:x:/r/personal/roini_vestas_com/_layouts/15/Doc.aspx?sourcedoc=%7BEF511578-FE46-4F1E-944A-115A344656FB%7D&amp;file=Weekly%20&amp;%20monthly%20reports%20tracker-2025.xlsx=&amp;action=default&amp;mobileredirect=true" TargetMode="External"/><Relationship Id="rId26" Type="http://schemas.openxmlformats.org/officeDocument/2006/relationships/hyperlink" Target="https://utopusinsights.atlassian.net/wiki/spaces/~343206481/pages/2375974927/Kafka+Topic+Monitoring" TargetMode="External"/><Relationship Id="rId21" Type="http://schemas.openxmlformats.org/officeDocument/2006/relationships/hyperlink" Target="https://bitbucket.org/utopusinsights/workspace/projects/SUP" TargetMode="External"/><Relationship Id="rId34" Type="http://schemas.openxmlformats.org/officeDocument/2006/relationships/hyperlink" Target="https://utopusinsights.atlassian.net/wiki/spaces/~343206481/pages/2623438854/Rx+Production+Release" TargetMode="External"/><Relationship Id="rId7" Type="http://schemas.openxmlformats.org/officeDocument/2006/relationships/hyperlink" Target="https://utopusinsights.atlassian.net/wiki/spaces/PUL/pages/2824437919/Reporting+-+Scoped+Turbine+Report" TargetMode="External"/><Relationship Id="rId12" Type="http://schemas.openxmlformats.org/officeDocument/2006/relationships/hyperlink" Target="https://ui-stage-1-eu-west-1.cloud.databricks.com/?o=2557749522913591" TargetMode="External"/><Relationship Id="rId17" Type="http://schemas.openxmlformats.org/officeDocument/2006/relationships/hyperlink" Target="https://vestas-my.sharepoint.com/:x:/r/personal/roini_vestas_com/_layouts/15/Doc.aspx?sourcedoc=%7BD2F9E6D2-DBD8-4577-92B3-E65683FC2248%7D&amp;file=RCA_Rx_User_Access_Update_20240917.xlsx&amp;action=default&amp;mobileredirect=true" TargetMode="External"/><Relationship Id="rId25" Type="http://schemas.openxmlformats.org/officeDocument/2006/relationships/hyperlink" Target="https://utopusinsights.atlassian.net/jira/software/c/projects/PD/boards/80?assignee=60a20ab620ad1b00703a9911&amp;assignee=5b568d266615e92d30d82cfa&amp;assignee=5c6ec1505b4c267532743bd7" TargetMode="External"/><Relationship Id="rId33" Type="http://schemas.openxmlformats.org/officeDocument/2006/relationships/hyperlink" Target="https://utopusinsights.atlassian.net/wiki/spaces/~343206481/pages/3403153435/Scipher.Rx+-+2025" TargetMode="External"/><Relationship Id="rId38" Type="http://schemas.openxmlformats.org/officeDocument/2006/relationships/hyperlink" Target="https://scipher.rx.utopusinsights.io/" TargetMode="External"/><Relationship Id="rId2" Type="http://schemas.openxmlformats.org/officeDocument/2006/relationships/hyperlink" Target="https://vestas-my.sharepoint.com/:x:/r/personal/salau_vestas_com/_layouts/15/Doc.aspx?sourcedoc=%7B0030F2FB-6873-4E20-BEAA-9713ED4BAAA9%7D&amp;file=Rx%20Confluence%20links.xlsx&amp;action=default&amp;mobileredirect=true&amp;CID=7DF36CA1-03BC-4E66-8A07-284D011C9F4C&amp;wdLOR=" TargetMode="External"/><Relationship Id="rId16" Type="http://schemas.openxmlformats.org/officeDocument/2006/relationships/hyperlink" Target="https://vestas-my.sharepoint.com/:f:/r/personal/haaja_vestas_com/Documents/Hari/Vestas/Docs/Scipher-Rx/Ops%20Tech%20Talk%20sessions?csf=1&amp;web=1&amp;e=H3n4eZ" TargetMode="External"/><Relationship Id="rId20" Type="http://schemas.openxmlformats.org/officeDocument/2006/relationships/hyperlink" Target="https://bitbucket.org/utopusinsights/workspace/projects/SCIP" TargetMode="External"/><Relationship Id="rId29" Type="http://schemas.openxmlformats.org/officeDocument/2006/relationships/hyperlink" Target="https://eur01.safelinks.protection.outlook.com/?url=https%3A%2F%2Futopusinsights.lightning.force.com%2Fone%2Fone.app%23eyJjb21wb25lbnREZWYiOiJkZXNrdG9wRGFzaGJvYXJkczpkYXNoYm9hcmQiLCJhdHRyaWJ1dGVzIjp7ImRhc2hib2FyZElkIjoiMDFaN0YwMDAwMDE1aHBaVUFRIiwiZGlzcGxh" TargetMode="External"/><Relationship Id="rId1" Type="http://schemas.openxmlformats.org/officeDocument/2006/relationships/hyperlink" Target="https://eur01.safelinks.protection.outlook.com/?url=https%3A%2F%2Fwww.site24x7.com%2Fapp%2Fclient%23%2Frum%2Frum%2Fdetails%2F471930000001954033%2FSummary%2FhH%3Flogs%3Dfalse&amp;data=05%7C02%7Chaaja%40vestas.com%7Cffc6dbf340f8417fc9b108ddbf7fdbe2%7Cc07019407b" TargetMode="External"/><Relationship Id="rId6" Type="http://schemas.openxmlformats.org/officeDocument/2006/relationships/hyperlink" Target="https://utopusinsights.atlassian.net/wiki/spaces/PUL/pages/2824437902/Reporting+-+Asset+Inventory+Report" TargetMode="External"/><Relationship Id="rId11" Type="http://schemas.openxmlformats.org/officeDocument/2006/relationships/hyperlink" Target="https://ui-qa-1-eu-west-1.cloud.databricks.com/login.html?tuuid=7f3f7f3c-6e38-43f2-abf8-d7bb4a9f0bad" TargetMode="External"/><Relationship Id="rId24" Type="http://schemas.openxmlformats.org/officeDocument/2006/relationships/hyperlink" Target="https://onejira.tools.vestas.net/projects/RXSUPPORT/issues/RXSUPPORT-15?filter=allopenissues" TargetMode="External"/><Relationship Id="rId32" Type="http://schemas.openxmlformats.org/officeDocument/2006/relationships/hyperlink" Target="https://teams.microsoft.com/l/channel/19%3Abb69a9ef7bd84c09bf0237403ab1add0%40thread.tacv2/Scipher.Rx_CMS_LF_data_availability_report?groupId=5b28481d-853b-4eda-959b-36117004abf3&amp;tenantId=c0701940-7b3f-4116-a59f-159078bc3c63" TargetMode="External"/><Relationship Id="rId37" Type="http://schemas.openxmlformats.org/officeDocument/2006/relationships/hyperlink" Target="http://10.32.86.49:5000/" TargetMode="External"/><Relationship Id="rId5" Type="http://schemas.openxmlformats.org/officeDocument/2006/relationships/hyperlink" Target="https://eur01.safelinks.protection.outlook.com/?url=https%3A%2F%2Futopusinsights.atlassian.net%2Fwiki%2Fspaces%2FPUL%2Fpages%2F3451650049%2FRCA&amp;data=05%7C02%7Chaaja%40vestas.com%7Cffc6dbf340f8417fc9b108ddbf7fdbe2%7Cc07019407b3f4116a59f159078bc3c63%7C0%7C0" TargetMode="External"/><Relationship Id="rId15" Type="http://schemas.openxmlformats.org/officeDocument/2006/relationships/hyperlink" Target="https://vestas-my.sharepoint.com/:x:/r/personal/haaja_vestas_com/Documents/Hari/Vestas/Docs/Scipher-Rx/Scipher.RxOps%20FPOC%20details/FPOC_2025_RxOps.xlsx?d=wd480859f0bb643918480bc302d63c2e2&amp;csf=1&amp;web=1&amp;e=NtfB1y" TargetMode="External"/><Relationship Id="rId23" Type="http://schemas.openxmlformats.org/officeDocument/2006/relationships/hyperlink" Target="https://onejira.tools.vestas.net/projects/SCIPHERDE/issues/SCIPHERDE-198?filter=allopenissues" TargetMode="External"/><Relationship Id="rId28" Type="http://schemas.openxmlformats.org/officeDocument/2006/relationships/hyperlink" Target="http://vtm.vestas.net/AlarmList.aspx%20&#160;" TargetMode="External"/><Relationship Id="rId36" Type="http://schemas.openxmlformats.org/officeDocument/2006/relationships/hyperlink" Target="https://eur01.safelinks.protection.outlook.com/?url=https%3A%2F%2Fvestas.visualstudio.com%2FData%2520Platform%2520Product%2520Area%2F_backlogs%2Fbacklog%2FScipher%2520Platform%2520Engineering%2FStories&amp;data=05%7C02%7Chaaja%40vestas.com%7Cffc6dbf340f8417fc" TargetMode="External"/><Relationship Id="rId10" Type="http://schemas.openxmlformats.org/officeDocument/2006/relationships/hyperlink" Target="https://ui-dev-1-eu-west-1.cloud.databricks.com/login.html?tuuid=c9c2d006-f4f3-4462-8a01-6c227182f049" TargetMode="External"/><Relationship Id="rId19" Type="http://schemas.openxmlformats.org/officeDocument/2006/relationships/hyperlink" Target="http://jenkins.admin.eu-west-1.utopusinsights.io/" TargetMode="External"/><Relationship Id="rId31" Type="http://schemas.openxmlformats.org/officeDocument/2006/relationships/hyperlink" Target="https://teams.microsoft.com/l/channel/19%3A5915f1c6f7694ce3affc90a55f5c37b3%40thread.tacv2/Scipher_Rx_ROC_User_Monitoring?groupId=5b28481d-853b-4eda-959b-36117004abf3&amp;tenantId=c0701940-7b3f-4116-a59f-159078bc3c63" TargetMode="External"/><Relationship Id="rId4" Type="http://schemas.openxmlformats.org/officeDocument/2006/relationships/hyperlink" Target="https://eur01.safelinks.protection.outlook.com/?url=https%3A%2F%2Futopusinsights.atlassian.net%2Fwiki%2Fspaces%2FPUL%2Fpages%2F2804318646%2FRx%2BProduct%2BOperations%3Fatl_f%3DPAGETREE&amp;data=05%7C02%7Chaaja%40vestas.com%7Cffc6dbf340f8417fc9b108ddbf7fdbe2%252" TargetMode="External"/><Relationship Id="rId9" Type="http://schemas.openxmlformats.org/officeDocument/2006/relationships/hyperlink" Target="https://utopusinsights.atlassian.net/wiki/spaces/PUL/pages/3541860393/Reporting+-+Turbine+onboarding+status+report" TargetMode="External"/><Relationship Id="rId14" Type="http://schemas.openxmlformats.org/officeDocument/2006/relationships/hyperlink" Target="https://eur01.safelinks.protection.outlook.com/?url=https%3A%2F%2Fhyc86517.live.dynatrace.com%2Fui%2Fdashboards%3Fgtf%3D-2h%26gf%3Dall&amp;data=05%7C02%7Chaaja%40vestas.com%7Cffc6dbf340f8417fc9b108ddbf7fdbe2%7Cc07019407b3f4116a59f159078bc3c63%7C0%7C0%7C638877" TargetMode="External"/><Relationship Id="rId22" Type="http://schemas.openxmlformats.org/officeDocument/2006/relationships/hyperlink" Target="https://onejira.tools.vestas.net/projects/RX/issues/RX-295?filter=allopenissues" TargetMode="External"/><Relationship Id="rId27" Type="http://schemas.openxmlformats.org/officeDocument/2006/relationships/hyperlink" Target="https://app.datadoghq.com/dashboard/lists?p=1" TargetMode="External"/><Relationship Id="rId30" Type="http://schemas.openxmlformats.org/officeDocument/2006/relationships/hyperlink" Target="https://teams.microsoft.com/l/channel/19%3A672daacea3d04df59d9eb88c3cc688b7%40thread.tacv2/Rx_datadog_monitoring?groupId=5b28481d-853b-4eda-959b-36117004abf3&amp;tenantId=c0701940-7b3f-4116-a59f-159078bc3c63" TargetMode="External"/><Relationship Id="rId35" Type="http://schemas.openxmlformats.org/officeDocument/2006/relationships/hyperlink" Target="https://access.vestas.net/home" TargetMode="External"/><Relationship Id="rId8" Type="http://schemas.openxmlformats.org/officeDocument/2006/relationships/hyperlink" Target="https://utopusinsights.atlassian.net/wiki/spaces/PUL/pages/2823913732/Reporting+-+Alert+Tracker+Report" TargetMode="External"/><Relationship Id="rId3" Type="http://schemas.openxmlformats.org/officeDocument/2006/relationships/hyperlink" Target="https://utopusinsights.atlassian.net/wiki/spaces/~343206481/pages/3701244127/Tracking+RX+Sops+and+automation+links+-Rx" TargetMode="External"/></Relationships>
</file>

<file path=xl/worksheets/_rels/sheet12.xml.rels><?xml version="1.0" encoding="UTF-8" standalone="yes"?>
<Relationships xmlns="http://schemas.openxmlformats.org/package/2006/relationships"><Relationship Id="rId2" Type="http://schemas.openxmlformats.org/officeDocument/2006/relationships/hyperlink" Target="https://scipher.secops.vestas.net/" TargetMode="External"/><Relationship Id="rId1" Type="http://schemas.openxmlformats.org/officeDocument/2006/relationships/hyperlink" Target="https://platform.securityscorecard.io/"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https://wiki.tsw.vestas.net/spaces/SO/pages/512839050/Onboarding+template+-+Fx+Premium" TargetMode="External"/><Relationship Id="rId2" Type="http://schemas.openxmlformats.org/officeDocument/2006/relationships/hyperlink" Target="http://172.19.0.189:5000/accuracy_monitoring_dashboard?" TargetMode="External"/><Relationship Id="rId1" Type="http://schemas.openxmlformats.org/officeDocument/2006/relationships/hyperlink" Target="https://fx.scipher.io/forecast/farm-forecast?asset_id=394860" TargetMode="External"/><Relationship Id="rId5" Type="http://schemas.openxmlformats.org/officeDocument/2006/relationships/hyperlink" Target="https://wiki.tsw.vestas.net/spaces/SO/pages/512837554/Onboarding+template+-+Fx+Advanced" TargetMode="External"/><Relationship Id="rId4" Type="http://schemas.openxmlformats.org/officeDocument/2006/relationships/hyperlink" Target="https://wiki.tsw.vestas.net/spaces/SO/pages/512837329/Onboarding+template+-+Fx+Basi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8"/>
  <sheetViews>
    <sheetView zoomScaleNormal="100" workbookViewId="0">
      <selection activeCell="A13" sqref="A13"/>
    </sheetView>
  </sheetViews>
  <sheetFormatPr defaultColWidth="32.42578125" defaultRowHeight="15" customHeight="1" x14ac:dyDescent="0.25"/>
  <cols>
    <col min="1" max="1" width="11" style="1" customWidth="1"/>
    <col min="2" max="2" width="18.140625" style="1" customWidth="1"/>
    <col min="3" max="3" width="11.42578125" style="1" customWidth="1"/>
    <col min="4" max="4" width="19.42578125" style="1" customWidth="1"/>
    <col min="5" max="16384" width="32.42578125" style="1"/>
  </cols>
  <sheetData>
    <row r="1" spans="1:9" ht="30" x14ac:dyDescent="0.25">
      <c r="A1" s="2" t="s">
        <v>0</v>
      </c>
      <c r="B1" s="2" t="s">
        <v>1</v>
      </c>
      <c r="C1" s="2" t="s">
        <v>2</v>
      </c>
      <c r="D1" s="2" t="s">
        <v>3</v>
      </c>
      <c r="E1" s="2" t="s">
        <v>4</v>
      </c>
      <c r="F1" s="2" t="s">
        <v>5</v>
      </c>
      <c r="G1" s="2" t="s">
        <v>6</v>
      </c>
      <c r="H1" s="2" t="s">
        <v>7</v>
      </c>
      <c r="I1" s="2"/>
    </row>
    <row r="2" spans="1:9" x14ac:dyDescent="0.25">
      <c r="A2" s="1" t="s">
        <v>30</v>
      </c>
      <c r="B2" s="1" t="s">
        <v>30</v>
      </c>
      <c r="C2" s="3" t="s">
        <v>31</v>
      </c>
      <c r="D2" s="3" t="s">
        <v>30</v>
      </c>
      <c r="G2" s="4"/>
      <c r="H2" s="3"/>
    </row>
    <row r="3" spans="1:9" x14ac:dyDescent="0.25">
      <c r="A3" s="3" t="s">
        <v>527</v>
      </c>
      <c r="B3" s="1" t="s">
        <v>32</v>
      </c>
      <c r="C3" s="3" t="s">
        <v>33</v>
      </c>
      <c r="D3" s="3" t="s">
        <v>32</v>
      </c>
    </row>
    <row r="4" spans="1:9" x14ac:dyDescent="0.25">
      <c r="A4" s="3" t="s">
        <v>26</v>
      </c>
      <c r="B4" s="1" t="s">
        <v>27</v>
      </c>
      <c r="C4" s="3" t="s">
        <v>28</v>
      </c>
      <c r="D4" s="3" t="s">
        <v>29</v>
      </c>
      <c r="G4" s="4"/>
      <c r="H4" s="3"/>
    </row>
    <row r="5" spans="1:9" x14ac:dyDescent="0.25">
      <c r="A5" s="1" t="s">
        <v>34</v>
      </c>
      <c r="B5" s="1" t="s">
        <v>9</v>
      </c>
      <c r="C5" s="1" t="s">
        <v>35</v>
      </c>
      <c r="D5" s="1" t="s">
        <v>34</v>
      </c>
    </row>
    <row r="6" spans="1:9" x14ac:dyDescent="0.25">
      <c r="A6" s="3" t="s">
        <v>8</v>
      </c>
      <c r="B6" s="1" t="s">
        <v>9</v>
      </c>
      <c r="C6" s="3" t="s">
        <v>10</v>
      </c>
      <c r="D6" s="3" t="s">
        <v>8</v>
      </c>
      <c r="H6" s="3"/>
    </row>
    <row r="7" spans="1:9" x14ac:dyDescent="0.25">
      <c r="A7" s="3" t="s">
        <v>11</v>
      </c>
      <c r="B7" s="1" t="s">
        <v>12</v>
      </c>
      <c r="C7" s="3" t="s">
        <v>12</v>
      </c>
      <c r="D7" s="3" t="s">
        <v>11</v>
      </c>
      <c r="H7" s="3"/>
    </row>
    <row r="8" spans="1:9" x14ac:dyDescent="0.25">
      <c r="A8" s="3" t="s">
        <v>14</v>
      </c>
      <c r="B8" s="3" t="s">
        <v>15</v>
      </c>
      <c r="C8" s="3" t="s">
        <v>16</v>
      </c>
      <c r="D8" s="3" t="s">
        <v>14</v>
      </c>
      <c r="H8" s="3"/>
    </row>
    <row r="9" spans="1:9" x14ac:dyDescent="0.25">
      <c r="A9" s="3" t="s">
        <v>17</v>
      </c>
      <c r="B9" s="1" t="s">
        <v>18</v>
      </c>
      <c r="C9" s="3" t="s">
        <v>19</v>
      </c>
      <c r="D9" s="3" t="s">
        <v>17</v>
      </c>
      <c r="H9" s="3"/>
    </row>
    <row r="10" spans="1:9" x14ac:dyDescent="0.25">
      <c r="A10" s="3" t="s">
        <v>23</v>
      </c>
      <c r="B10" s="1" t="s">
        <v>24</v>
      </c>
      <c r="C10" s="3" t="s">
        <v>24</v>
      </c>
      <c r="D10" s="3" t="s">
        <v>25</v>
      </c>
      <c r="H10" s="3"/>
    </row>
    <row r="11" spans="1:9" x14ac:dyDescent="0.25">
      <c r="A11" s="3" t="s">
        <v>20</v>
      </c>
      <c r="B11" s="1" t="s">
        <v>20</v>
      </c>
      <c r="C11" s="3" t="s">
        <v>21</v>
      </c>
      <c r="D11" s="3" t="s">
        <v>22</v>
      </c>
      <c r="H11" s="3"/>
    </row>
    <row r="12" spans="1:9" x14ac:dyDescent="0.25">
      <c r="A12" s="1" t="s">
        <v>516</v>
      </c>
      <c r="B12" s="1" t="s">
        <v>517</v>
      </c>
      <c r="C12" s="3" t="s">
        <v>33</v>
      </c>
      <c r="D12" s="3" t="s">
        <v>517</v>
      </c>
    </row>
    <row r="13" spans="1:9" x14ac:dyDescent="0.25">
      <c r="A13" s="1" t="s">
        <v>551</v>
      </c>
      <c r="B13" s="1" t="s">
        <v>551</v>
      </c>
      <c r="C13" s="3" t="s">
        <v>33</v>
      </c>
      <c r="D13" s="3" t="s">
        <v>551</v>
      </c>
    </row>
    <row r="14" spans="1:9" x14ac:dyDescent="0.25">
      <c r="C14" s="3"/>
      <c r="D14" s="3"/>
    </row>
    <row r="15" spans="1:9" x14ac:dyDescent="0.25">
      <c r="C15" s="3"/>
      <c r="D15" s="3"/>
    </row>
    <row r="16" spans="1:9" x14ac:dyDescent="0.25">
      <c r="C16" s="3"/>
      <c r="D16" s="3"/>
    </row>
    <row r="17" spans="3:4" x14ac:dyDescent="0.25">
      <c r="C17" s="3"/>
      <c r="D17" s="3"/>
    </row>
    <row r="18" spans="3:4" x14ac:dyDescent="0.25">
      <c r="C18" s="3"/>
      <c r="D18" s="3"/>
    </row>
    <row r="19" spans="3:4" x14ac:dyDescent="0.25">
      <c r="C19" s="3"/>
      <c r="D19" s="3"/>
    </row>
    <row r="20" spans="3:4" x14ac:dyDescent="0.25">
      <c r="C20" s="3"/>
      <c r="D20" s="3"/>
    </row>
    <row r="21" spans="3:4" x14ac:dyDescent="0.25">
      <c r="C21" s="3"/>
      <c r="D21" s="3"/>
    </row>
    <row r="22" spans="3:4" x14ac:dyDescent="0.25">
      <c r="C22" s="3"/>
      <c r="D22" s="3"/>
    </row>
    <row r="23" spans="3:4" x14ac:dyDescent="0.25">
      <c r="C23" s="3"/>
      <c r="D23" s="3"/>
    </row>
    <row r="24" spans="3:4" x14ac:dyDescent="0.25">
      <c r="C24" s="3"/>
      <c r="D24" s="3"/>
    </row>
    <row r="25" spans="3:4" x14ac:dyDescent="0.25">
      <c r="C25" s="3"/>
      <c r="D25" s="3"/>
    </row>
    <row r="26" spans="3:4" x14ac:dyDescent="0.25">
      <c r="C26" s="3"/>
      <c r="D26" s="3"/>
    </row>
    <row r="27" spans="3:4" x14ac:dyDescent="0.25">
      <c r="C27" s="3"/>
      <c r="D27" s="3"/>
    </row>
    <row r="28" spans="3:4" x14ac:dyDescent="0.25">
      <c r="C28" s="3"/>
      <c r="D28" s="3"/>
    </row>
  </sheetData>
  <conditionalFormatting sqref="B1">
    <cfRule type="duplicateValues" dxfId="21" priority="2"/>
  </conditionalFormatting>
  <pageMargins left="0.7" right="0.7" top="0.75" bottom="0.75" header="0.511811023622047" footer="0.3"/>
  <pageSetup orientation="portrait" horizontalDpi="300" verticalDpi="300"/>
  <headerFooter>
    <oddFooter>&amp;C_x000D_x000D_&amp;1#&amp;"Aptos"&amp;8&amp;K000000 Classification: Confidential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0"/>
  <sheetViews>
    <sheetView tabSelected="1" topLeftCell="A4" zoomScaleNormal="100" workbookViewId="0">
      <selection activeCell="C11" sqref="C11"/>
    </sheetView>
  </sheetViews>
  <sheetFormatPr defaultColWidth="8.7109375" defaultRowHeight="15" customHeight="1" x14ac:dyDescent="0.25"/>
  <cols>
    <col min="1" max="1" width="52.28515625" customWidth="1"/>
    <col min="2" max="2" width="28.140625" customWidth="1"/>
  </cols>
  <sheetData>
    <row r="1" spans="1:8" ht="30" x14ac:dyDescent="0.25">
      <c r="A1" s="2" t="s">
        <v>0</v>
      </c>
      <c r="B1" s="2" t="s">
        <v>1</v>
      </c>
      <c r="C1" s="2" t="s">
        <v>2</v>
      </c>
      <c r="D1" s="2" t="s">
        <v>3</v>
      </c>
      <c r="E1" s="2" t="s">
        <v>4</v>
      </c>
      <c r="F1" s="2" t="s">
        <v>5</v>
      </c>
      <c r="G1" s="2" t="s">
        <v>6</v>
      </c>
      <c r="H1" s="2" t="s">
        <v>7</v>
      </c>
    </row>
    <row r="2" spans="1:8" x14ac:dyDescent="0.25">
      <c r="A2" t="s">
        <v>81</v>
      </c>
      <c r="B2" s="12" t="s">
        <v>511</v>
      </c>
      <c r="C2" s="1"/>
      <c r="D2" s="1" t="s">
        <v>30</v>
      </c>
      <c r="F2" t="b">
        <f>TRUE()</f>
        <v>1</v>
      </c>
      <c r="G2" t="s">
        <v>81</v>
      </c>
      <c r="H2" t="s">
        <v>524</v>
      </c>
    </row>
    <row r="3" spans="1:8" x14ac:dyDescent="0.25">
      <c r="A3" t="s">
        <v>542</v>
      </c>
      <c r="B3" s="12" t="s">
        <v>546</v>
      </c>
      <c r="C3" s="1"/>
      <c r="D3" s="1" t="s">
        <v>30</v>
      </c>
      <c r="F3" t="b">
        <f>TRUE()</f>
        <v>1</v>
      </c>
      <c r="G3" t="s">
        <v>519</v>
      </c>
      <c r="H3" t="s">
        <v>525</v>
      </c>
    </row>
    <row r="4" spans="1:8" x14ac:dyDescent="0.25">
      <c r="A4" t="s">
        <v>543</v>
      </c>
      <c r="B4" s="5" t="s">
        <v>544</v>
      </c>
      <c r="C4" s="1"/>
      <c r="D4" s="1" t="s">
        <v>30</v>
      </c>
      <c r="F4" t="b">
        <f>TRUE()</f>
        <v>1</v>
      </c>
      <c r="G4" t="s">
        <v>520</v>
      </c>
      <c r="H4" t="s">
        <v>526</v>
      </c>
    </row>
    <row r="5" spans="1:8" ht="409.5" x14ac:dyDescent="0.25">
      <c r="A5" t="s">
        <v>556</v>
      </c>
      <c r="B5" s="5" t="s">
        <v>545</v>
      </c>
      <c r="C5" s="1"/>
      <c r="D5" s="1" t="s">
        <v>30</v>
      </c>
      <c r="F5" t="b">
        <f>TRUE()</f>
        <v>1</v>
      </c>
      <c r="G5" s="14" t="s">
        <v>556</v>
      </c>
      <c r="H5" s="15" t="s">
        <v>559</v>
      </c>
    </row>
    <row r="6" spans="1:8" x14ac:dyDescent="0.25">
      <c r="A6" t="s">
        <v>558</v>
      </c>
      <c r="B6" s="12" t="s">
        <v>557</v>
      </c>
      <c r="D6" s="1" t="s">
        <v>30</v>
      </c>
      <c r="F6" t="b">
        <f>TRUE()</f>
        <v>1</v>
      </c>
      <c r="G6" t="s">
        <v>555</v>
      </c>
      <c r="H6" t="s">
        <v>555</v>
      </c>
    </row>
    <row r="7" spans="1:8" x14ac:dyDescent="0.25">
      <c r="B7" s="5"/>
      <c r="D7" s="1"/>
    </row>
    <row r="8" spans="1:8" x14ac:dyDescent="0.25">
      <c r="D8" s="1"/>
    </row>
    <row r="9" spans="1:8" x14ac:dyDescent="0.25">
      <c r="B9" s="5"/>
      <c r="D9" s="1"/>
    </row>
    <row r="10" spans="1:8" x14ac:dyDescent="0.25">
      <c r="B10" s="5"/>
      <c r="D10" s="1"/>
    </row>
    <row r="11" spans="1:8" x14ac:dyDescent="0.25">
      <c r="B11" s="5"/>
      <c r="D11" s="1"/>
    </row>
    <row r="12" spans="1:8" x14ac:dyDescent="0.25">
      <c r="B12" s="5"/>
      <c r="D12" s="1"/>
    </row>
    <row r="14" spans="1:8" x14ac:dyDescent="0.25">
      <c r="D14" s="1"/>
    </row>
    <row r="15" spans="1:8" x14ac:dyDescent="0.25">
      <c r="D15" s="1"/>
    </row>
    <row r="16" spans="1:8" x14ac:dyDescent="0.25">
      <c r="D16" s="1"/>
    </row>
    <row r="17" spans="2:4" x14ac:dyDescent="0.25">
      <c r="D17" s="1"/>
    </row>
    <row r="18" spans="2:4" x14ac:dyDescent="0.25">
      <c r="D18" s="1"/>
    </row>
    <row r="19" spans="2:4" x14ac:dyDescent="0.25">
      <c r="B19" s="5"/>
      <c r="D19" s="1"/>
    </row>
    <row r="20" spans="2:4" x14ac:dyDescent="0.25">
      <c r="B20" s="5"/>
      <c r="D20" s="1"/>
    </row>
  </sheetData>
  <autoFilter ref="A1:D8" xr:uid="{00000000-0009-0000-0000-000004000000}">
    <sortState xmlns:xlrd2="http://schemas.microsoft.com/office/spreadsheetml/2017/richdata2" ref="A2:D8">
      <sortCondition ref="A2:A8"/>
    </sortState>
  </autoFilter>
  <conditionalFormatting sqref="A2:A12 G2:H5">
    <cfRule type="duplicateValues" dxfId="20" priority="8"/>
  </conditionalFormatting>
  <conditionalFormatting sqref="A14:A20">
    <cfRule type="duplicateValues" dxfId="19" priority="5"/>
  </conditionalFormatting>
  <conditionalFormatting sqref="B1">
    <cfRule type="duplicateValues" dxfId="18" priority="4"/>
  </conditionalFormatting>
  <conditionalFormatting sqref="G6">
    <cfRule type="duplicateValues" dxfId="17" priority="2"/>
  </conditionalFormatting>
  <conditionalFormatting sqref="H6">
    <cfRule type="duplicateValues" dxfId="16" priority="1"/>
  </conditionalFormatting>
  <hyperlinks>
    <hyperlink ref="B4" r:id="rId1" xr:uid="{00000000-0004-0000-0400-000001000000}"/>
    <hyperlink ref="B5" r:id="rId2" xr:uid="{00000000-0004-0000-0400-000003000000}"/>
    <hyperlink ref="B2" r:id="rId3" xr:uid="{A587D24F-E5E4-47A2-BC52-A9057421F202}"/>
    <hyperlink ref="B3" r:id="rId4" xr:uid="{598FD60F-42FA-401F-8DD2-590E5C68C884}"/>
    <hyperlink ref="B6" r:id="rId5" xr:uid="{F4C5B33F-7AE9-4169-8AFB-E26A10E1E0F1}"/>
  </hyperlinks>
  <pageMargins left="0.7" right="0.7" top="0.75" bottom="0.75" header="0.511811023622047" footer="0.3"/>
  <pageSetup orientation="portrait" horizontalDpi="300" verticalDpi="300"/>
  <headerFooter>
    <oddFooter>&amp;C_x000D_x000D_&amp;1#&amp;"Aptos"&amp;8&amp;K000000 Classification: Confidential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
  <sheetViews>
    <sheetView zoomScaleNormal="100" workbookViewId="0">
      <selection activeCell="E13" sqref="E13"/>
    </sheetView>
  </sheetViews>
  <sheetFormatPr defaultColWidth="8.7109375" defaultRowHeight="15" customHeight="1" x14ac:dyDescent="0.25"/>
  <cols>
    <col min="1" max="1" width="24.7109375" bestFit="1" customWidth="1"/>
    <col min="2" max="2" width="49.5703125" customWidth="1"/>
    <col min="7" max="7" width="12.42578125" bestFit="1" customWidth="1"/>
    <col min="8" max="8" width="11.7109375" customWidth="1"/>
  </cols>
  <sheetData>
    <row r="1" spans="1:8" ht="30" x14ac:dyDescent="0.25">
      <c r="A1" s="2" t="s">
        <v>0</v>
      </c>
      <c r="B1" s="2" t="s">
        <v>1</v>
      </c>
      <c r="C1" s="2" t="s">
        <v>2</v>
      </c>
      <c r="D1" s="2" t="s">
        <v>3</v>
      </c>
      <c r="E1" s="2" t="s">
        <v>4</v>
      </c>
      <c r="F1" s="2" t="s">
        <v>5</v>
      </c>
      <c r="G1" s="2" t="s">
        <v>6</v>
      </c>
      <c r="H1" s="2" t="s">
        <v>7</v>
      </c>
    </row>
    <row r="2" spans="1:8" x14ac:dyDescent="0.25">
      <c r="A2" t="s">
        <v>77</v>
      </c>
      <c r="B2" s="5" t="s">
        <v>547</v>
      </c>
      <c r="C2" s="1"/>
      <c r="D2" t="s">
        <v>32</v>
      </c>
      <c r="F2" t="b">
        <f>TRUE()</f>
        <v>1</v>
      </c>
      <c r="G2" t="s">
        <v>78</v>
      </c>
      <c r="H2" t="s">
        <v>554</v>
      </c>
    </row>
    <row r="3" spans="1:8" ht="15" customHeight="1" x14ac:dyDescent="0.25">
      <c r="A3" t="s">
        <v>513</v>
      </c>
      <c r="B3" t="s">
        <v>514</v>
      </c>
      <c r="D3" t="s">
        <v>32</v>
      </c>
      <c r="F3" t="b">
        <v>1</v>
      </c>
      <c r="G3" t="s">
        <v>518</v>
      </c>
      <c r="H3" t="s">
        <v>515</v>
      </c>
    </row>
  </sheetData>
  <conditionalFormatting sqref="A2">
    <cfRule type="duplicateValues" dxfId="15" priority="3"/>
  </conditionalFormatting>
  <conditionalFormatting sqref="B1">
    <cfRule type="duplicateValues" dxfId="14" priority="2"/>
  </conditionalFormatting>
  <hyperlinks>
    <hyperlink ref="B2" r:id="rId1" xr:uid="{2CF4A37B-8F7C-48C1-97F2-1557CAEC0B5F}"/>
  </hyperlinks>
  <pageMargins left="0.7" right="0.7" top="0.75" bottom="0.75" header="0.511811023622047" footer="0.511811023622047"/>
  <pageSetup orientation="portrait" horizontalDpi="300" verticalDpi="300"/>
  <headerFooter>
    <oddFooter>&amp;C_x000D_&amp;1#&amp;"Aptos"&amp;8&amp;K000000 Classification: Confidential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9"/>
  <sheetViews>
    <sheetView zoomScaleNormal="100" workbookViewId="0">
      <selection activeCell="A2" sqref="A2"/>
    </sheetView>
  </sheetViews>
  <sheetFormatPr defaultColWidth="8.7109375" defaultRowHeight="15" customHeight="1" x14ac:dyDescent="0.25"/>
  <cols>
    <col min="1" max="1" width="37.42578125" customWidth="1"/>
    <col min="2" max="2" width="53.42578125" customWidth="1"/>
    <col min="3" max="3" width="10.5703125" style="1" customWidth="1"/>
    <col min="4" max="4" width="10.42578125" bestFit="1" customWidth="1"/>
    <col min="5" max="5" width="13.140625" bestFit="1" customWidth="1"/>
    <col min="15" max="15" width="14.85546875" customWidth="1"/>
  </cols>
  <sheetData>
    <row r="1" spans="1:15" ht="30" x14ac:dyDescent="0.25">
      <c r="A1" s="2" t="s">
        <v>0</v>
      </c>
      <c r="B1" s="2" t="s">
        <v>1</v>
      </c>
      <c r="C1" s="2" t="s">
        <v>2</v>
      </c>
      <c r="D1" s="2" t="s">
        <v>3</v>
      </c>
      <c r="E1" s="2" t="s">
        <v>4</v>
      </c>
      <c r="F1" s="2" t="s">
        <v>5</v>
      </c>
      <c r="G1" s="2" t="s">
        <v>6</v>
      </c>
      <c r="H1" s="2" t="s">
        <v>7</v>
      </c>
      <c r="K1" s="2"/>
      <c r="L1" s="2"/>
      <c r="M1" s="2"/>
      <c r="N1" s="2"/>
      <c r="O1" s="2"/>
    </row>
    <row r="2" spans="1:15" x14ac:dyDescent="0.25">
      <c r="A2" t="s">
        <v>36</v>
      </c>
      <c r="B2" t="s">
        <v>37</v>
      </c>
      <c r="C2" s="1" t="s">
        <v>38</v>
      </c>
      <c r="D2" s="3" t="s">
        <v>39</v>
      </c>
      <c r="E2" t="s">
        <v>38</v>
      </c>
      <c r="F2" t="b">
        <f>FALSE()</f>
        <v>0</v>
      </c>
      <c r="L2" s="5"/>
      <c r="M2" s="3"/>
      <c r="N2" s="3"/>
    </row>
    <row r="3" spans="1:15" x14ac:dyDescent="0.25">
      <c r="A3" t="s">
        <v>40</v>
      </c>
      <c r="B3" t="s">
        <v>41</v>
      </c>
      <c r="C3" s="1" t="s">
        <v>42</v>
      </c>
      <c r="D3" s="3" t="s">
        <v>39</v>
      </c>
      <c r="E3" t="s">
        <v>42</v>
      </c>
      <c r="F3" t="b">
        <f>FALSE()</f>
        <v>0</v>
      </c>
      <c r="L3" s="5"/>
      <c r="M3" s="3"/>
      <c r="N3" s="3"/>
    </row>
    <row r="4" spans="1:15" x14ac:dyDescent="0.25">
      <c r="A4" t="s">
        <v>43</v>
      </c>
      <c r="B4" t="s">
        <v>44</v>
      </c>
      <c r="C4" s="1" t="s">
        <v>42</v>
      </c>
      <c r="D4" s="3" t="s">
        <v>39</v>
      </c>
      <c r="E4" t="s">
        <v>42</v>
      </c>
      <c r="F4" t="b">
        <f>FALSE()</f>
        <v>0</v>
      </c>
      <c r="L4" s="5"/>
      <c r="M4" s="3"/>
      <c r="N4" s="3"/>
    </row>
    <row r="5" spans="1:15" x14ac:dyDescent="0.25">
      <c r="A5" t="s">
        <v>45</v>
      </c>
      <c r="B5" t="s">
        <v>46</v>
      </c>
      <c r="C5" s="1" t="s">
        <v>47</v>
      </c>
      <c r="D5" s="3" t="s">
        <v>39</v>
      </c>
      <c r="E5" t="s">
        <v>47</v>
      </c>
      <c r="F5" t="b">
        <f>FALSE()</f>
        <v>0</v>
      </c>
      <c r="L5" s="5"/>
      <c r="M5" s="3"/>
      <c r="N5" s="3"/>
    </row>
    <row r="6" spans="1:15" x14ac:dyDescent="0.25">
      <c r="A6" t="s">
        <v>48</v>
      </c>
      <c r="B6" t="s">
        <v>49</v>
      </c>
      <c r="C6" s="1" t="s">
        <v>47</v>
      </c>
      <c r="D6" s="3" t="s">
        <v>39</v>
      </c>
      <c r="E6" t="s">
        <v>47</v>
      </c>
      <c r="F6" t="b">
        <f>FALSE()</f>
        <v>0</v>
      </c>
    </row>
    <row r="7" spans="1:15" x14ac:dyDescent="0.25">
      <c r="A7" t="s">
        <v>50</v>
      </c>
      <c r="B7" t="s">
        <v>51</v>
      </c>
      <c r="C7" s="1" t="s">
        <v>52</v>
      </c>
      <c r="D7" s="3" t="s">
        <v>39</v>
      </c>
      <c r="E7" t="s">
        <v>52</v>
      </c>
      <c r="F7" t="b">
        <f>FALSE()</f>
        <v>0</v>
      </c>
    </row>
    <row r="8" spans="1:15" x14ac:dyDescent="0.25">
      <c r="A8" t="s">
        <v>53</v>
      </c>
      <c r="B8" t="s">
        <v>54</v>
      </c>
      <c r="C8" s="1" t="s">
        <v>52</v>
      </c>
      <c r="D8" s="3" t="s">
        <v>39</v>
      </c>
      <c r="E8" t="s">
        <v>52</v>
      </c>
      <c r="F8" t="b">
        <f>FALSE()</f>
        <v>0</v>
      </c>
    </row>
    <row r="9" spans="1:15" x14ac:dyDescent="0.25">
      <c r="A9" t="s">
        <v>522</v>
      </c>
      <c r="B9" t="s">
        <v>55</v>
      </c>
      <c r="C9" s="1" t="s">
        <v>52</v>
      </c>
      <c r="D9" s="3" t="s">
        <v>39</v>
      </c>
      <c r="E9" t="s">
        <v>52</v>
      </c>
      <c r="F9" t="b">
        <f>FALSE()</f>
        <v>0</v>
      </c>
    </row>
    <row r="10" spans="1:15" x14ac:dyDescent="0.25">
      <c r="A10" t="s">
        <v>523</v>
      </c>
      <c r="B10" t="s">
        <v>56</v>
      </c>
      <c r="C10" s="1" t="s">
        <v>52</v>
      </c>
      <c r="D10" s="3" t="s">
        <v>39</v>
      </c>
      <c r="E10" t="s">
        <v>52</v>
      </c>
      <c r="F10" t="b">
        <f>FALSE()</f>
        <v>0</v>
      </c>
    </row>
    <row r="11" spans="1:15" x14ac:dyDescent="0.25">
      <c r="A11" t="s">
        <v>57</v>
      </c>
      <c r="B11" t="s">
        <v>58</v>
      </c>
      <c r="C11" s="1" t="s">
        <v>57</v>
      </c>
      <c r="D11" s="3" t="s">
        <v>39</v>
      </c>
      <c r="E11" t="s">
        <v>57</v>
      </c>
      <c r="F11" t="b">
        <f>FALSE()</f>
        <v>0</v>
      </c>
    </row>
    <row r="12" spans="1:15" x14ac:dyDescent="0.25">
      <c r="A12" t="s">
        <v>59</v>
      </c>
      <c r="B12" t="s">
        <v>60</v>
      </c>
      <c r="C12" s="1" t="s">
        <v>61</v>
      </c>
      <c r="D12" s="3" t="s">
        <v>39</v>
      </c>
      <c r="E12" t="s">
        <v>61</v>
      </c>
      <c r="F12" t="b">
        <f>FALSE()</f>
        <v>0</v>
      </c>
    </row>
    <row r="13" spans="1:15" x14ac:dyDescent="0.25">
      <c r="A13" t="s">
        <v>62</v>
      </c>
      <c r="B13" t="s">
        <v>63</v>
      </c>
      <c r="C13" s="1" t="s">
        <v>61</v>
      </c>
      <c r="D13" s="3" t="s">
        <v>39</v>
      </c>
      <c r="E13" t="s">
        <v>61</v>
      </c>
      <c r="F13" t="b">
        <f>FALSE()</f>
        <v>0</v>
      </c>
    </row>
    <row r="14" spans="1:15" x14ac:dyDescent="0.25">
      <c r="A14" t="s">
        <v>64</v>
      </c>
      <c r="B14" t="s">
        <v>65</v>
      </c>
      <c r="C14" s="1" t="s">
        <v>61</v>
      </c>
      <c r="D14" s="3" t="s">
        <v>39</v>
      </c>
      <c r="E14" t="s">
        <v>61</v>
      </c>
      <c r="F14" t="b">
        <f>FALSE()</f>
        <v>0</v>
      </c>
    </row>
    <row r="15" spans="1:15" x14ac:dyDescent="0.25">
      <c r="A15" t="s">
        <v>66</v>
      </c>
      <c r="B15" t="s">
        <v>67</v>
      </c>
      <c r="C15" s="1" t="s">
        <v>61</v>
      </c>
      <c r="D15" s="3" t="s">
        <v>39</v>
      </c>
      <c r="E15" t="s">
        <v>61</v>
      </c>
      <c r="F15" t="b">
        <f>FALSE()</f>
        <v>0</v>
      </c>
    </row>
    <row r="16" spans="1:15" x14ac:dyDescent="0.25">
      <c r="A16" t="s">
        <v>68</v>
      </c>
      <c r="B16" t="s">
        <v>69</v>
      </c>
      <c r="C16" s="1" t="s">
        <v>68</v>
      </c>
      <c r="D16" s="3" t="s">
        <v>39</v>
      </c>
      <c r="E16" t="s">
        <v>68</v>
      </c>
      <c r="F16" t="b">
        <f>FALSE()</f>
        <v>0</v>
      </c>
    </row>
    <row r="17" spans="1:6" x14ac:dyDescent="0.25">
      <c r="A17" t="s">
        <v>73</v>
      </c>
      <c r="B17" t="s">
        <v>74</v>
      </c>
      <c r="C17" s="1" t="s">
        <v>450</v>
      </c>
      <c r="D17" s="3" t="s">
        <v>39</v>
      </c>
      <c r="F17" t="b">
        <f>FALSE()</f>
        <v>0</v>
      </c>
    </row>
    <row r="18" spans="1:6" x14ac:dyDescent="0.25">
      <c r="A18" t="s">
        <v>70</v>
      </c>
      <c r="B18" t="s">
        <v>71</v>
      </c>
      <c r="C18" s="3" t="s">
        <v>72</v>
      </c>
      <c r="D18" s="3" t="s">
        <v>39</v>
      </c>
      <c r="F18" t="b">
        <f>FALSE()</f>
        <v>0</v>
      </c>
    </row>
    <row r="19" spans="1:6" x14ac:dyDescent="0.25">
      <c r="A19" t="s">
        <v>75</v>
      </c>
      <c r="B19" t="s">
        <v>76</v>
      </c>
      <c r="C19" s="3" t="s">
        <v>72</v>
      </c>
      <c r="D19" s="3" t="s">
        <v>39</v>
      </c>
      <c r="F19" t="b">
        <f>FALSE()</f>
        <v>0</v>
      </c>
    </row>
  </sheetData>
  <autoFilter ref="A1:F19" xr:uid="{00000000-0009-0000-0000-000001000000}">
    <sortState xmlns:xlrd2="http://schemas.microsoft.com/office/spreadsheetml/2017/richdata2" ref="A2:F19">
      <sortCondition ref="C1:C19"/>
    </sortState>
  </autoFilter>
  <conditionalFormatting sqref="B1">
    <cfRule type="duplicateValues" dxfId="13" priority="2"/>
  </conditionalFormatting>
  <pageMargins left="0.7" right="0.7" top="0.75" bottom="0.75" header="0.511811023622047" footer="0.3"/>
  <pageSetup orientation="portrait" horizontalDpi="300" verticalDpi="300"/>
  <headerFooter>
    <oddFooter>&amp;C_x000D_x000D_&amp;1#&amp;"Aptos"&amp;8&amp;K000000 Classification: Confidential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048575"/>
  <sheetViews>
    <sheetView zoomScaleNormal="100" workbookViewId="0">
      <selection sqref="A1:H1"/>
    </sheetView>
  </sheetViews>
  <sheetFormatPr defaultColWidth="8.7109375" defaultRowHeight="15" customHeight="1" x14ac:dyDescent="0.25"/>
  <cols>
    <col min="1" max="1" width="10.28515625" customWidth="1"/>
    <col min="2" max="2" width="38.7109375" customWidth="1"/>
  </cols>
  <sheetData>
    <row r="1" spans="1:8" ht="30" x14ac:dyDescent="0.25">
      <c r="A1" s="2" t="s">
        <v>0</v>
      </c>
      <c r="B1" s="2" t="s">
        <v>1</v>
      </c>
      <c r="C1" s="2" t="s">
        <v>2</v>
      </c>
      <c r="D1" s="2" t="s">
        <v>3</v>
      </c>
      <c r="E1" s="2" t="s">
        <v>4</v>
      </c>
      <c r="F1" s="2" t="s">
        <v>5</v>
      </c>
      <c r="G1" s="2" t="s">
        <v>6</v>
      </c>
      <c r="H1" s="2" t="s">
        <v>7</v>
      </c>
    </row>
    <row r="2" spans="1:8" x14ac:dyDescent="0.25">
      <c r="A2" t="s">
        <v>8</v>
      </c>
      <c r="B2" s="5" t="s">
        <v>83</v>
      </c>
      <c r="C2" s="3" t="s">
        <v>84</v>
      </c>
      <c r="F2" t="b">
        <f>TRUE()</f>
        <v>1</v>
      </c>
    </row>
    <row r="3" spans="1:8" x14ac:dyDescent="0.25">
      <c r="A3" t="s">
        <v>11</v>
      </c>
      <c r="B3" s="5" t="s">
        <v>512</v>
      </c>
      <c r="C3" s="1" t="s">
        <v>12</v>
      </c>
      <c r="D3" s="1"/>
      <c r="F3" t="b">
        <f>TRUE()</f>
        <v>1</v>
      </c>
    </row>
    <row r="4" spans="1:8" x14ac:dyDescent="0.25">
      <c r="A4" t="s">
        <v>14</v>
      </c>
      <c r="B4" s="5" t="s">
        <v>82</v>
      </c>
      <c r="C4" s="3" t="s">
        <v>15</v>
      </c>
      <c r="F4" t="b">
        <f>TRUE()</f>
        <v>1</v>
      </c>
    </row>
    <row r="5" spans="1:8" x14ac:dyDescent="0.25">
      <c r="D5" s="1"/>
    </row>
    <row r="6" spans="1:8" x14ac:dyDescent="0.25">
      <c r="B6" s="5"/>
      <c r="D6" s="1"/>
    </row>
    <row r="7" spans="1:8" x14ac:dyDescent="0.25">
      <c r="B7" s="5"/>
      <c r="D7" s="1"/>
    </row>
    <row r="8" spans="1:8" x14ac:dyDescent="0.25">
      <c r="B8" s="5"/>
      <c r="D8" s="1"/>
    </row>
    <row r="9" spans="1:8" x14ac:dyDescent="0.25">
      <c r="B9" s="5"/>
      <c r="D9" s="1"/>
    </row>
    <row r="1048575" ht="12.75" customHeight="1" x14ac:dyDescent="0.25"/>
  </sheetData>
  <autoFilter ref="A1:H9" xr:uid="{00000000-0009-0000-0000-000005000000}">
    <sortState xmlns:xlrd2="http://schemas.microsoft.com/office/spreadsheetml/2017/richdata2" ref="A2:H9">
      <sortCondition descending="1" ref="A1:A9"/>
    </sortState>
  </autoFilter>
  <conditionalFormatting sqref="A5:A9">
    <cfRule type="duplicateValues" dxfId="12" priority="3"/>
  </conditionalFormatting>
  <conditionalFormatting sqref="B1">
    <cfRule type="duplicateValues" dxfId="11" priority="2"/>
  </conditionalFormatting>
  <hyperlinks>
    <hyperlink ref="B4" r:id="rId1" xr:uid="{00000000-0004-0000-0500-000000000000}"/>
    <hyperlink ref="B2" r:id="rId2" xr:uid="{00000000-0004-0000-0500-000001000000}"/>
    <hyperlink ref="B3" r:id="rId3" xr:uid="{CD84391C-B724-4C2C-A1AC-7B6D3D614081}"/>
  </hyperlinks>
  <pageMargins left="0.7" right="0.7" top="0.75" bottom="0.75" header="0.511811023622047" footer="0.3"/>
  <pageSetup orientation="portrait" horizontalDpi="300" verticalDpi="300"/>
  <headerFooter>
    <oddFooter>&amp;C_x000D_x000D_&amp;1#&amp;"Aptos"&amp;8&amp;K000000 Classification: Confidential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A0BE3-7021-41FF-A021-3DEFA6C4CA87}">
  <dimension ref="A1:H3"/>
  <sheetViews>
    <sheetView workbookViewId="0">
      <selection activeCell="C4" sqref="C4"/>
    </sheetView>
  </sheetViews>
  <sheetFormatPr defaultRowHeight="15" x14ac:dyDescent="0.25"/>
  <cols>
    <col min="1" max="1" width="19.7109375" customWidth="1"/>
    <col min="2" max="2" width="23" bestFit="1" customWidth="1"/>
  </cols>
  <sheetData>
    <row r="1" spans="1:8" ht="30" x14ac:dyDescent="0.25">
      <c r="A1" s="2" t="s">
        <v>0</v>
      </c>
      <c r="B1" s="2" t="s">
        <v>1</v>
      </c>
      <c r="C1" s="2" t="s">
        <v>2</v>
      </c>
      <c r="D1" s="2" t="s">
        <v>3</v>
      </c>
      <c r="E1" s="2" t="s">
        <v>4</v>
      </c>
      <c r="F1" s="2" t="s">
        <v>5</v>
      </c>
      <c r="G1" s="2" t="s">
        <v>6</v>
      </c>
      <c r="H1" s="2" t="s">
        <v>7</v>
      </c>
    </row>
    <row r="2" spans="1:8" x14ac:dyDescent="0.25">
      <c r="A2" s="13" t="s">
        <v>548</v>
      </c>
      <c r="B2" s="12" t="s">
        <v>549</v>
      </c>
      <c r="C2" t="s">
        <v>550</v>
      </c>
      <c r="F2" t="b">
        <v>0</v>
      </c>
    </row>
    <row r="3" spans="1:8" x14ac:dyDescent="0.25">
      <c r="A3" t="s">
        <v>553</v>
      </c>
      <c r="B3" s="12" t="s">
        <v>552</v>
      </c>
      <c r="C3" t="s">
        <v>35</v>
      </c>
      <c r="F3" t="b">
        <v>0</v>
      </c>
    </row>
  </sheetData>
  <conditionalFormatting sqref="B1">
    <cfRule type="duplicateValues" dxfId="10" priority="1"/>
  </conditionalFormatting>
  <hyperlinks>
    <hyperlink ref="B2" r:id="rId1" tooltip="https://blr-hub.vestas.net/" xr:uid="{82F1CE5B-9995-42D2-9259-87B1ECD82C97}"/>
    <hyperlink ref="B3" r:id="rId2" xr:uid="{314DA64D-5C60-4FA3-A72B-E6981E805941}"/>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
  <sheetViews>
    <sheetView zoomScaleNormal="100" workbookViewId="0">
      <selection activeCell="B3" sqref="B3"/>
    </sheetView>
  </sheetViews>
  <sheetFormatPr defaultColWidth="8.7109375" defaultRowHeight="15" customHeight="1" x14ac:dyDescent="0.25"/>
  <cols>
    <col min="1" max="1" width="29.7109375" bestFit="1" customWidth="1"/>
    <col min="2" max="2" width="155.42578125" customWidth="1"/>
    <col min="3" max="3" width="10" style="1" bestFit="1" customWidth="1"/>
  </cols>
  <sheetData>
    <row r="1" spans="1:8" ht="30" x14ac:dyDescent="0.25">
      <c r="A1" s="2" t="s">
        <v>0</v>
      </c>
      <c r="B1" s="2" t="s">
        <v>1</v>
      </c>
      <c r="C1" s="2" t="s">
        <v>2</v>
      </c>
      <c r="D1" s="2" t="s">
        <v>3</v>
      </c>
      <c r="E1" s="2" t="s">
        <v>4</v>
      </c>
      <c r="F1" s="2" t="s">
        <v>5</v>
      </c>
      <c r="G1" s="2" t="s">
        <v>6</v>
      </c>
      <c r="H1" s="2" t="s">
        <v>7</v>
      </c>
    </row>
    <row r="2" spans="1:8" x14ac:dyDescent="0.25">
      <c r="A2" s="1" t="s">
        <v>8</v>
      </c>
      <c r="B2" s="5" t="s">
        <v>83</v>
      </c>
      <c r="C2" s="1" t="s">
        <v>84</v>
      </c>
      <c r="D2" s="1" t="s">
        <v>89</v>
      </c>
      <c r="E2" s="1" t="s">
        <v>72</v>
      </c>
      <c r="F2" s="1" t="b">
        <f>FALSE()</f>
        <v>0</v>
      </c>
    </row>
    <row r="3" spans="1:8" x14ac:dyDescent="0.25">
      <c r="A3" t="s">
        <v>85</v>
      </c>
      <c r="B3" s="5" t="s">
        <v>86</v>
      </c>
      <c r="C3" s="1" t="s">
        <v>87</v>
      </c>
      <c r="E3" t="s">
        <v>87</v>
      </c>
      <c r="F3" s="1" t="b">
        <f>FALSE()</f>
        <v>0</v>
      </c>
    </row>
    <row r="4" spans="1:8" x14ac:dyDescent="0.25">
      <c r="A4" t="s">
        <v>50</v>
      </c>
      <c r="B4" t="s">
        <v>51</v>
      </c>
      <c r="C4" s="3" t="s">
        <v>52</v>
      </c>
      <c r="D4" s="3" t="s">
        <v>39</v>
      </c>
      <c r="E4" t="s">
        <v>52</v>
      </c>
      <c r="F4" s="1" t="b">
        <f>FALSE()</f>
        <v>0</v>
      </c>
    </row>
    <row r="5" spans="1:8" ht="15" customHeight="1" x14ac:dyDescent="0.25">
      <c r="A5" t="s">
        <v>540</v>
      </c>
      <c r="B5" s="5" t="s">
        <v>90</v>
      </c>
      <c r="C5" s="1" t="s">
        <v>91</v>
      </c>
      <c r="D5" s="3" t="s">
        <v>10</v>
      </c>
      <c r="E5" t="s">
        <v>91</v>
      </c>
      <c r="F5" s="1" t="b">
        <f>FALSE()</f>
        <v>0</v>
      </c>
    </row>
    <row r="6" spans="1:8" ht="15" customHeight="1" x14ac:dyDescent="0.25">
      <c r="A6" t="s">
        <v>541</v>
      </c>
      <c r="B6" s="5" t="s">
        <v>92</v>
      </c>
      <c r="C6" s="1" t="s">
        <v>91</v>
      </c>
      <c r="D6" s="3" t="s">
        <v>10</v>
      </c>
      <c r="E6" t="s">
        <v>91</v>
      </c>
      <c r="F6" s="1" t="b">
        <f>FALSE()</f>
        <v>0</v>
      </c>
    </row>
  </sheetData>
  <autoFilter ref="A1:H6" xr:uid="{00000000-0001-0000-0600-000000000000}">
    <sortState xmlns:xlrd2="http://schemas.microsoft.com/office/spreadsheetml/2017/richdata2" ref="A2:H6">
      <sortCondition descending="1" ref="C1:C6"/>
    </sortState>
  </autoFilter>
  <conditionalFormatting sqref="B1">
    <cfRule type="duplicateValues" dxfId="9" priority="2"/>
  </conditionalFormatting>
  <hyperlinks>
    <hyperlink ref="B3" r:id="rId1" xr:uid="{00000000-0004-0000-0600-000000000000}"/>
    <hyperlink ref="B5" r:id="rId2" xr:uid="{00000000-0004-0000-0600-000002000000}"/>
    <hyperlink ref="B6" r:id="rId3" xr:uid="{00000000-0004-0000-0600-000003000000}"/>
    <hyperlink ref="B2" r:id="rId4" xr:uid="{E317934F-E6FC-4902-B977-EFB3E7A13F4C}"/>
  </hyperlinks>
  <pageMargins left="0.7" right="0.7" top="0.75" bottom="0.75" header="0.511811023622047" footer="0.3"/>
  <pageSetup orientation="portrait" horizontalDpi="300" verticalDpi="300"/>
  <headerFooter>
    <oddFooter>&amp;C_x000D_x000D_&amp;1#&amp;"Aptos"&amp;8&amp;K000000 Classification: Confidential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33"/>
  <sheetViews>
    <sheetView zoomScaleNormal="100" workbookViewId="0">
      <selection activeCell="A2" sqref="A2:F2"/>
    </sheetView>
  </sheetViews>
  <sheetFormatPr defaultColWidth="8.7109375" defaultRowHeight="15" customHeight="1" x14ac:dyDescent="0.25"/>
  <cols>
    <col min="1" max="1" width="77.5703125" customWidth="1"/>
    <col min="2" max="2" width="23.85546875" style="6" customWidth="1"/>
    <col min="3" max="3" width="10.85546875" style="1" customWidth="1"/>
    <col min="4" max="4" width="64" customWidth="1"/>
    <col min="5" max="5" width="10.85546875" customWidth="1"/>
  </cols>
  <sheetData>
    <row r="1" spans="1:8" ht="30" x14ac:dyDescent="0.25">
      <c r="A1" s="2" t="s">
        <v>0</v>
      </c>
      <c r="B1" s="7" t="s">
        <v>1</v>
      </c>
      <c r="C1" s="2" t="s">
        <v>2</v>
      </c>
      <c r="D1" s="2" t="s">
        <v>3</v>
      </c>
      <c r="E1" s="2" t="s">
        <v>4</v>
      </c>
      <c r="F1" s="2" t="s">
        <v>5</v>
      </c>
      <c r="G1" s="2" t="s">
        <v>6</v>
      </c>
      <c r="H1" s="2" t="s">
        <v>7</v>
      </c>
    </row>
    <row r="2" spans="1:8" x14ac:dyDescent="0.25">
      <c r="A2" t="s">
        <v>11</v>
      </c>
      <c r="B2" s="5" t="s">
        <v>512</v>
      </c>
      <c r="C2" s="1" t="s">
        <v>12</v>
      </c>
      <c r="D2" t="s">
        <v>13</v>
      </c>
      <c r="E2" t="s">
        <v>35</v>
      </c>
      <c r="F2" s="2" t="b">
        <v>0</v>
      </c>
    </row>
    <row r="3" spans="1:8" x14ac:dyDescent="0.25">
      <c r="A3" s="8" t="s">
        <v>101</v>
      </c>
      <c r="B3" s="9" t="s">
        <v>102</v>
      </c>
      <c r="C3" s="1" t="s">
        <v>38</v>
      </c>
      <c r="D3" t="s">
        <v>13</v>
      </c>
      <c r="E3" t="s">
        <v>38</v>
      </c>
      <c r="F3" t="b">
        <f>FALSE()</f>
        <v>0</v>
      </c>
    </row>
    <row r="4" spans="1:8" x14ac:dyDescent="0.25">
      <c r="A4" s="8" t="s">
        <v>101</v>
      </c>
      <c r="B4" s="9" t="s">
        <v>102</v>
      </c>
      <c r="C4" s="1" t="s">
        <v>38</v>
      </c>
      <c r="D4" t="s">
        <v>13</v>
      </c>
      <c r="E4" t="s">
        <v>317</v>
      </c>
      <c r="F4" t="b">
        <f>FALSE()</f>
        <v>0</v>
      </c>
    </row>
    <row r="5" spans="1:8" x14ac:dyDescent="0.25">
      <c r="A5" s="8" t="s">
        <v>99</v>
      </c>
      <c r="B5" s="9" t="s">
        <v>100</v>
      </c>
      <c r="C5" s="1" t="s">
        <v>38</v>
      </c>
      <c r="D5" t="s">
        <v>13</v>
      </c>
      <c r="E5" t="s">
        <v>38</v>
      </c>
      <c r="F5" t="b">
        <f>FALSE()</f>
        <v>0</v>
      </c>
    </row>
    <row r="6" spans="1:8" x14ac:dyDescent="0.25">
      <c r="A6" s="8" t="s">
        <v>99</v>
      </c>
      <c r="B6" s="9" t="s">
        <v>100</v>
      </c>
      <c r="C6" s="1" t="s">
        <v>38</v>
      </c>
      <c r="D6" t="s">
        <v>13</v>
      </c>
      <c r="E6" t="s">
        <v>317</v>
      </c>
      <c r="F6" t="b">
        <f>FALSE()</f>
        <v>0</v>
      </c>
    </row>
    <row r="7" spans="1:8" x14ac:dyDescent="0.25">
      <c r="A7" s="8" t="s">
        <v>97</v>
      </c>
      <c r="B7" s="9" t="s">
        <v>98</v>
      </c>
      <c r="C7" s="1" t="s">
        <v>38</v>
      </c>
      <c r="D7" t="s">
        <v>13</v>
      </c>
      <c r="E7" t="s">
        <v>38</v>
      </c>
      <c r="F7" t="b">
        <f>FALSE()</f>
        <v>0</v>
      </c>
    </row>
    <row r="8" spans="1:8" x14ac:dyDescent="0.25">
      <c r="A8" s="8" t="s">
        <v>97</v>
      </c>
      <c r="B8" s="9" t="s">
        <v>98</v>
      </c>
      <c r="C8" s="1" t="s">
        <v>38</v>
      </c>
      <c r="D8" t="s">
        <v>13</v>
      </c>
      <c r="E8" t="s">
        <v>317</v>
      </c>
      <c r="F8" t="b">
        <f>FALSE()</f>
        <v>0</v>
      </c>
    </row>
    <row r="9" spans="1:8" x14ac:dyDescent="0.25">
      <c r="A9" s="8" t="s">
        <v>105</v>
      </c>
      <c r="B9" s="9" t="s">
        <v>106</v>
      </c>
      <c r="C9" s="1" t="s">
        <v>38</v>
      </c>
      <c r="D9" t="s">
        <v>13</v>
      </c>
      <c r="E9" t="s">
        <v>38</v>
      </c>
      <c r="F9" t="b">
        <f>FALSE()</f>
        <v>0</v>
      </c>
    </row>
    <row r="10" spans="1:8" x14ac:dyDescent="0.25">
      <c r="A10" s="8" t="s">
        <v>107</v>
      </c>
      <c r="B10" s="9" t="s">
        <v>108</v>
      </c>
      <c r="C10" s="1" t="s">
        <v>38</v>
      </c>
      <c r="D10" t="s">
        <v>13</v>
      </c>
      <c r="E10" t="s">
        <v>38</v>
      </c>
      <c r="F10" t="b">
        <f>FALSE()</f>
        <v>0</v>
      </c>
    </row>
    <row r="11" spans="1:8" x14ac:dyDescent="0.25">
      <c r="A11" s="10" t="s">
        <v>103</v>
      </c>
      <c r="B11" s="9" t="s">
        <v>104</v>
      </c>
      <c r="C11" s="1" t="s">
        <v>38</v>
      </c>
      <c r="D11" t="s">
        <v>13</v>
      </c>
      <c r="E11" t="s">
        <v>38</v>
      </c>
      <c r="F11" t="b">
        <f>FALSE()</f>
        <v>0</v>
      </c>
    </row>
    <row r="12" spans="1:8" x14ac:dyDescent="0.25">
      <c r="A12" s="8" t="s">
        <v>95</v>
      </c>
      <c r="B12" s="9" t="s">
        <v>96</v>
      </c>
      <c r="C12" s="1" t="s">
        <v>38</v>
      </c>
      <c r="D12" t="s">
        <v>13</v>
      </c>
      <c r="E12" t="s">
        <v>38</v>
      </c>
      <c r="F12" t="b">
        <f>FALSE()</f>
        <v>0</v>
      </c>
    </row>
    <row r="13" spans="1:8" x14ac:dyDescent="0.25">
      <c r="A13" s="8" t="s">
        <v>95</v>
      </c>
      <c r="B13" s="9" t="s">
        <v>96</v>
      </c>
      <c r="C13" s="1" t="s">
        <v>38</v>
      </c>
      <c r="D13" t="s">
        <v>13</v>
      </c>
      <c r="E13" t="s">
        <v>317</v>
      </c>
      <c r="F13" t="b">
        <f>FALSE()</f>
        <v>0</v>
      </c>
    </row>
    <row r="14" spans="1:8" x14ac:dyDescent="0.25">
      <c r="A14" s="8" t="s">
        <v>93</v>
      </c>
      <c r="B14" s="9" t="s">
        <v>94</v>
      </c>
      <c r="C14" s="1" t="s">
        <v>38</v>
      </c>
      <c r="D14" t="s">
        <v>13</v>
      </c>
      <c r="E14" t="s">
        <v>38</v>
      </c>
      <c r="F14" t="b">
        <f>FALSE()</f>
        <v>0</v>
      </c>
    </row>
    <row r="15" spans="1:8" x14ac:dyDescent="0.25">
      <c r="A15" s="8" t="s">
        <v>93</v>
      </c>
      <c r="B15" s="9" t="s">
        <v>94</v>
      </c>
      <c r="C15" s="1" t="s">
        <v>38</v>
      </c>
      <c r="D15" t="s">
        <v>13</v>
      </c>
      <c r="E15" t="s">
        <v>317</v>
      </c>
      <c r="F15" t="b">
        <f>FALSE()</f>
        <v>0</v>
      </c>
    </row>
    <row r="16" spans="1:8" x14ac:dyDescent="0.25">
      <c r="A16" s="8" t="s">
        <v>207</v>
      </c>
      <c r="B16" s="9" t="s">
        <v>208</v>
      </c>
      <c r="C16" s="1" t="s">
        <v>111</v>
      </c>
      <c r="D16" t="s">
        <v>13</v>
      </c>
      <c r="E16" t="s">
        <v>209</v>
      </c>
      <c r="F16" t="b">
        <f>FALSE()</f>
        <v>0</v>
      </c>
    </row>
    <row r="17" spans="1:6" x14ac:dyDescent="0.25">
      <c r="A17" s="8" t="s">
        <v>261</v>
      </c>
      <c r="B17" s="9" t="s">
        <v>262</v>
      </c>
      <c r="C17" s="1" t="s">
        <v>111</v>
      </c>
      <c r="D17" t="s">
        <v>13</v>
      </c>
      <c r="E17" t="s">
        <v>239</v>
      </c>
      <c r="F17" t="b">
        <f>FALSE()</f>
        <v>0</v>
      </c>
    </row>
    <row r="18" spans="1:6" x14ac:dyDescent="0.25">
      <c r="A18" s="8" t="s">
        <v>251</v>
      </c>
      <c r="B18" s="9" t="s">
        <v>252</v>
      </c>
      <c r="C18" s="1" t="s">
        <v>111</v>
      </c>
      <c r="D18" t="s">
        <v>13</v>
      </c>
      <c r="E18" t="s">
        <v>239</v>
      </c>
      <c r="F18" t="b">
        <f>FALSE()</f>
        <v>0</v>
      </c>
    </row>
    <row r="19" spans="1:6" x14ac:dyDescent="0.25">
      <c r="A19" s="8" t="s">
        <v>281</v>
      </c>
      <c r="B19" s="9" t="s">
        <v>282</v>
      </c>
      <c r="C19" s="1" t="s">
        <v>111</v>
      </c>
      <c r="D19" t="s">
        <v>13</v>
      </c>
      <c r="E19" t="s">
        <v>239</v>
      </c>
      <c r="F19" t="b">
        <f>FALSE()</f>
        <v>0</v>
      </c>
    </row>
    <row r="20" spans="1:6" x14ac:dyDescent="0.25">
      <c r="A20" s="8" t="s">
        <v>255</v>
      </c>
      <c r="B20" s="9" t="s">
        <v>256</v>
      </c>
      <c r="C20" s="1" t="s">
        <v>111</v>
      </c>
      <c r="D20" t="s">
        <v>13</v>
      </c>
      <c r="E20" t="s">
        <v>239</v>
      </c>
      <c r="F20" t="b">
        <f>FALSE()</f>
        <v>0</v>
      </c>
    </row>
    <row r="21" spans="1:6" x14ac:dyDescent="0.25">
      <c r="A21" s="8" t="s">
        <v>121</v>
      </c>
      <c r="B21" s="9" t="s">
        <v>122</v>
      </c>
      <c r="C21" s="1" t="s">
        <v>111</v>
      </c>
      <c r="D21" t="s">
        <v>13</v>
      </c>
      <c r="E21" t="s">
        <v>112</v>
      </c>
      <c r="F21" t="b">
        <f>FALSE()</f>
        <v>0</v>
      </c>
    </row>
    <row r="22" spans="1:6" x14ac:dyDescent="0.25">
      <c r="A22" s="8" t="s">
        <v>240</v>
      </c>
      <c r="B22" s="9" t="s">
        <v>122</v>
      </c>
      <c r="C22" s="1" t="s">
        <v>111</v>
      </c>
      <c r="D22" t="s">
        <v>13</v>
      </c>
      <c r="E22" t="s">
        <v>239</v>
      </c>
      <c r="F22" t="b">
        <f>FALSE()</f>
        <v>0</v>
      </c>
    </row>
    <row r="23" spans="1:6" x14ac:dyDescent="0.25">
      <c r="A23" s="8" t="s">
        <v>271</v>
      </c>
      <c r="B23" s="9" t="s">
        <v>272</v>
      </c>
      <c r="C23" s="1" t="s">
        <v>111</v>
      </c>
      <c r="D23" t="s">
        <v>13</v>
      </c>
      <c r="E23" t="s">
        <v>239</v>
      </c>
      <c r="F23" t="b">
        <f>FALSE()</f>
        <v>0</v>
      </c>
    </row>
    <row r="24" spans="1:6" x14ac:dyDescent="0.25">
      <c r="A24" s="8" t="s">
        <v>119</v>
      </c>
      <c r="B24" s="9" t="s">
        <v>120</v>
      </c>
      <c r="C24" s="1" t="s">
        <v>111</v>
      </c>
      <c r="D24" t="s">
        <v>13</v>
      </c>
      <c r="E24" t="s">
        <v>112</v>
      </c>
      <c r="F24" t="b">
        <f>FALSE()</f>
        <v>0</v>
      </c>
    </row>
    <row r="25" spans="1:6" x14ac:dyDescent="0.25">
      <c r="A25" s="8" t="s">
        <v>115</v>
      </c>
      <c r="B25" s="9" t="s">
        <v>116</v>
      </c>
      <c r="C25" s="1" t="s">
        <v>111</v>
      </c>
      <c r="D25" t="s">
        <v>13</v>
      </c>
      <c r="E25" t="s">
        <v>112</v>
      </c>
      <c r="F25" t="b">
        <f>FALSE()</f>
        <v>0</v>
      </c>
    </row>
    <row r="26" spans="1:6" x14ac:dyDescent="0.25">
      <c r="A26" s="8" t="s">
        <v>117</v>
      </c>
      <c r="B26" s="9" t="s">
        <v>118</v>
      </c>
      <c r="C26" s="1" t="s">
        <v>111</v>
      </c>
      <c r="D26" t="s">
        <v>13</v>
      </c>
      <c r="E26" t="s">
        <v>112</v>
      </c>
      <c r="F26" t="b">
        <f>FALSE()</f>
        <v>0</v>
      </c>
    </row>
    <row r="27" spans="1:6" x14ac:dyDescent="0.25">
      <c r="A27" s="8" t="s">
        <v>205</v>
      </c>
      <c r="B27" s="9" t="s">
        <v>206</v>
      </c>
      <c r="C27" s="1" t="s">
        <v>111</v>
      </c>
      <c r="D27" t="s">
        <v>13</v>
      </c>
      <c r="E27" t="s">
        <v>200</v>
      </c>
      <c r="F27" t="b">
        <f>FALSE()</f>
        <v>0</v>
      </c>
    </row>
    <row r="28" spans="1:6" x14ac:dyDescent="0.25">
      <c r="A28" s="8" t="s">
        <v>273</v>
      </c>
      <c r="B28" s="9" t="s">
        <v>274</v>
      </c>
      <c r="C28" s="1" t="s">
        <v>111</v>
      </c>
      <c r="D28" t="s">
        <v>13</v>
      </c>
      <c r="E28" t="s">
        <v>239</v>
      </c>
      <c r="F28" t="b">
        <f>FALSE()</f>
        <v>0</v>
      </c>
    </row>
    <row r="29" spans="1:6" x14ac:dyDescent="0.25">
      <c r="A29" s="8" t="s">
        <v>283</v>
      </c>
      <c r="B29" s="9" t="s">
        <v>284</v>
      </c>
      <c r="C29" s="1" t="s">
        <v>111</v>
      </c>
      <c r="D29" t="s">
        <v>13</v>
      </c>
      <c r="E29" t="s">
        <v>239</v>
      </c>
      <c r="F29" t="b">
        <f>FALSE()</f>
        <v>0</v>
      </c>
    </row>
    <row r="30" spans="1:6" x14ac:dyDescent="0.25">
      <c r="A30" s="8" t="s">
        <v>113</v>
      </c>
      <c r="B30" s="9" t="s">
        <v>114</v>
      </c>
      <c r="C30" s="1" t="s">
        <v>111</v>
      </c>
      <c r="D30" t="s">
        <v>13</v>
      </c>
      <c r="E30" t="s">
        <v>112</v>
      </c>
      <c r="F30" t="b">
        <f>FALSE()</f>
        <v>0</v>
      </c>
    </row>
    <row r="31" spans="1:6" x14ac:dyDescent="0.25">
      <c r="A31" s="8" t="s">
        <v>275</v>
      </c>
      <c r="B31" s="9" t="s">
        <v>276</v>
      </c>
      <c r="C31" s="1" t="s">
        <v>111</v>
      </c>
      <c r="D31" t="s">
        <v>13</v>
      </c>
      <c r="E31" t="s">
        <v>239</v>
      </c>
      <c r="F31" t="b">
        <f>FALSE()</f>
        <v>0</v>
      </c>
    </row>
    <row r="32" spans="1:6" x14ac:dyDescent="0.25">
      <c r="A32" s="8" t="s">
        <v>259</v>
      </c>
      <c r="B32" s="9" t="s">
        <v>260</v>
      </c>
      <c r="C32" s="1" t="s">
        <v>111</v>
      </c>
      <c r="D32" t="s">
        <v>13</v>
      </c>
      <c r="E32" t="s">
        <v>239</v>
      </c>
      <c r="F32" t="b">
        <f>FALSE()</f>
        <v>0</v>
      </c>
    </row>
    <row r="33" spans="1:6" x14ac:dyDescent="0.25">
      <c r="A33" s="8" t="s">
        <v>265</v>
      </c>
      <c r="B33" s="9" t="s">
        <v>266</v>
      </c>
      <c r="C33" s="1" t="s">
        <v>111</v>
      </c>
      <c r="D33" t="s">
        <v>13</v>
      </c>
      <c r="E33" t="s">
        <v>239</v>
      </c>
      <c r="F33" t="b">
        <f>FALSE()</f>
        <v>0</v>
      </c>
    </row>
    <row r="34" spans="1:6" x14ac:dyDescent="0.25">
      <c r="A34" s="8" t="s">
        <v>243</v>
      </c>
      <c r="B34" s="9" t="s">
        <v>244</v>
      </c>
      <c r="C34" s="1" t="s">
        <v>111</v>
      </c>
      <c r="D34" t="s">
        <v>13</v>
      </c>
      <c r="E34" t="s">
        <v>239</v>
      </c>
      <c r="F34" t="b">
        <f>FALSE()</f>
        <v>0</v>
      </c>
    </row>
    <row r="35" spans="1:6" x14ac:dyDescent="0.25">
      <c r="A35" s="8" t="s">
        <v>245</v>
      </c>
      <c r="B35" s="9" t="s">
        <v>246</v>
      </c>
      <c r="C35" s="1" t="s">
        <v>111</v>
      </c>
      <c r="D35" t="s">
        <v>13</v>
      </c>
      <c r="E35" t="s">
        <v>239</v>
      </c>
      <c r="F35" t="b">
        <f>FALSE()</f>
        <v>0</v>
      </c>
    </row>
    <row r="36" spans="1:6" x14ac:dyDescent="0.25">
      <c r="A36" s="8" t="s">
        <v>263</v>
      </c>
      <c r="B36" s="9" t="s">
        <v>264</v>
      </c>
      <c r="C36" s="1" t="s">
        <v>111</v>
      </c>
      <c r="D36" t="s">
        <v>13</v>
      </c>
      <c r="E36" t="s">
        <v>239</v>
      </c>
      <c r="F36" t="b">
        <f>FALSE()</f>
        <v>0</v>
      </c>
    </row>
    <row r="37" spans="1:6" x14ac:dyDescent="0.25">
      <c r="A37" s="8" t="s">
        <v>267</v>
      </c>
      <c r="B37" s="9" t="s">
        <v>268</v>
      </c>
      <c r="C37" s="1" t="s">
        <v>111</v>
      </c>
      <c r="D37" t="s">
        <v>13</v>
      </c>
      <c r="E37" t="s">
        <v>239</v>
      </c>
      <c r="F37" t="b">
        <f>FALSE()</f>
        <v>0</v>
      </c>
    </row>
    <row r="38" spans="1:6" x14ac:dyDescent="0.25">
      <c r="A38" s="8" t="s">
        <v>257</v>
      </c>
      <c r="B38" s="9" t="s">
        <v>258</v>
      </c>
      <c r="C38" s="1" t="s">
        <v>111</v>
      </c>
      <c r="D38" t="s">
        <v>13</v>
      </c>
      <c r="E38" t="s">
        <v>239</v>
      </c>
      <c r="F38" t="b">
        <f>FALSE()</f>
        <v>0</v>
      </c>
    </row>
    <row r="39" spans="1:6" x14ac:dyDescent="0.25">
      <c r="A39" s="8" t="s">
        <v>210</v>
      </c>
      <c r="B39" s="9" t="s">
        <v>211</v>
      </c>
      <c r="C39" s="1" t="s">
        <v>111</v>
      </c>
      <c r="D39" t="s">
        <v>13</v>
      </c>
      <c r="E39" t="s">
        <v>209</v>
      </c>
      <c r="F39" t="b">
        <f>FALSE()</f>
        <v>0</v>
      </c>
    </row>
    <row r="40" spans="1:6" x14ac:dyDescent="0.25">
      <c r="A40" s="8" t="s">
        <v>125</v>
      </c>
      <c r="B40" s="9" t="s">
        <v>126</v>
      </c>
      <c r="C40" s="1" t="s">
        <v>111</v>
      </c>
      <c r="D40" t="s">
        <v>13</v>
      </c>
      <c r="E40" t="s">
        <v>112</v>
      </c>
      <c r="F40" t="b">
        <f>FALSE()</f>
        <v>0</v>
      </c>
    </row>
    <row r="41" spans="1:6" x14ac:dyDescent="0.25">
      <c r="A41" s="8" t="s">
        <v>125</v>
      </c>
      <c r="B41" s="9" t="s">
        <v>126</v>
      </c>
      <c r="C41" s="1" t="s">
        <v>111</v>
      </c>
      <c r="D41" t="s">
        <v>13</v>
      </c>
      <c r="E41" t="s">
        <v>217</v>
      </c>
      <c r="F41" t="b">
        <f>FALSE()</f>
        <v>0</v>
      </c>
    </row>
    <row r="42" spans="1:6" x14ac:dyDescent="0.25">
      <c r="A42" s="8" t="s">
        <v>238</v>
      </c>
      <c r="B42" s="9" t="s">
        <v>126</v>
      </c>
      <c r="C42" s="1" t="s">
        <v>111</v>
      </c>
      <c r="D42" t="s">
        <v>13</v>
      </c>
      <c r="E42" t="s">
        <v>239</v>
      </c>
      <c r="F42" t="b">
        <f>FALSE()</f>
        <v>0</v>
      </c>
    </row>
    <row r="43" spans="1:6" x14ac:dyDescent="0.25">
      <c r="A43" s="8" t="s">
        <v>249</v>
      </c>
      <c r="B43" s="9" t="s">
        <v>250</v>
      </c>
      <c r="C43" s="1" t="s">
        <v>111</v>
      </c>
      <c r="D43" t="s">
        <v>13</v>
      </c>
      <c r="E43" t="s">
        <v>239</v>
      </c>
      <c r="F43" t="b">
        <f>FALSE()</f>
        <v>0</v>
      </c>
    </row>
    <row r="44" spans="1:6" x14ac:dyDescent="0.25">
      <c r="A44" s="8" t="s">
        <v>198</v>
      </c>
      <c r="B44" s="9" t="s">
        <v>199</v>
      </c>
      <c r="C44" s="1" t="s">
        <v>111</v>
      </c>
      <c r="D44" t="s">
        <v>13</v>
      </c>
      <c r="E44" t="s">
        <v>200</v>
      </c>
      <c r="F44" t="b">
        <f>FALSE()</f>
        <v>0</v>
      </c>
    </row>
    <row r="45" spans="1:6" x14ac:dyDescent="0.25">
      <c r="A45" s="8" t="s">
        <v>241</v>
      </c>
      <c r="B45" s="9" t="s">
        <v>242</v>
      </c>
      <c r="C45" s="1" t="s">
        <v>111</v>
      </c>
      <c r="D45" t="s">
        <v>13</v>
      </c>
      <c r="E45" t="s">
        <v>239</v>
      </c>
      <c r="F45" t="b">
        <f>FALSE()</f>
        <v>0</v>
      </c>
    </row>
    <row r="46" spans="1:6" x14ac:dyDescent="0.25">
      <c r="A46" s="8" t="s">
        <v>247</v>
      </c>
      <c r="B46" s="9" t="s">
        <v>248</v>
      </c>
      <c r="C46" s="1" t="s">
        <v>111</v>
      </c>
      <c r="D46" t="s">
        <v>13</v>
      </c>
      <c r="E46" t="s">
        <v>239</v>
      </c>
      <c r="F46" t="b">
        <f>FALSE()</f>
        <v>0</v>
      </c>
    </row>
    <row r="47" spans="1:6" x14ac:dyDescent="0.25">
      <c r="A47" s="8" t="s">
        <v>203</v>
      </c>
      <c r="B47" s="9" t="s">
        <v>204</v>
      </c>
      <c r="C47" s="1" t="s">
        <v>111</v>
      </c>
      <c r="D47" t="s">
        <v>13</v>
      </c>
      <c r="E47" t="s">
        <v>200</v>
      </c>
      <c r="F47" t="b">
        <f>FALSE()</f>
        <v>0</v>
      </c>
    </row>
    <row r="48" spans="1:6" x14ac:dyDescent="0.25">
      <c r="A48" s="8" t="s">
        <v>269</v>
      </c>
      <c r="B48" s="9" t="s">
        <v>270</v>
      </c>
      <c r="C48" s="1" t="s">
        <v>111</v>
      </c>
      <c r="D48" t="s">
        <v>13</v>
      </c>
      <c r="E48" t="s">
        <v>239</v>
      </c>
      <c r="F48" t="b">
        <f>FALSE()</f>
        <v>0</v>
      </c>
    </row>
    <row r="49" spans="1:6" x14ac:dyDescent="0.25">
      <c r="A49" s="8" t="s">
        <v>337</v>
      </c>
      <c r="B49" s="9" t="s">
        <v>338</v>
      </c>
      <c r="C49" s="1" t="s">
        <v>111</v>
      </c>
      <c r="D49" t="s">
        <v>13</v>
      </c>
      <c r="E49" t="s">
        <v>332</v>
      </c>
      <c r="F49" t="b">
        <f>FALSE()</f>
        <v>0</v>
      </c>
    </row>
    <row r="50" spans="1:6" x14ac:dyDescent="0.25">
      <c r="A50" s="8" t="s">
        <v>277</v>
      </c>
      <c r="B50" s="9" t="s">
        <v>278</v>
      </c>
      <c r="C50" s="1" t="s">
        <v>111</v>
      </c>
      <c r="D50" t="s">
        <v>13</v>
      </c>
      <c r="E50" t="s">
        <v>239</v>
      </c>
      <c r="F50" t="b">
        <f>FALSE()</f>
        <v>0</v>
      </c>
    </row>
    <row r="51" spans="1:6" x14ac:dyDescent="0.25">
      <c r="A51" s="8" t="s">
        <v>123</v>
      </c>
      <c r="B51" s="9" t="s">
        <v>124</v>
      </c>
      <c r="C51" s="1" t="s">
        <v>111</v>
      </c>
      <c r="D51" t="s">
        <v>13</v>
      </c>
      <c r="E51" t="s">
        <v>112</v>
      </c>
      <c r="F51" t="b">
        <f>FALSE()</f>
        <v>0</v>
      </c>
    </row>
    <row r="52" spans="1:6" x14ac:dyDescent="0.25">
      <c r="A52" s="8" t="s">
        <v>109</v>
      </c>
      <c r="B52" s="9" t="s">
        <v>110</v>
      </c>
      <c r="C52" s="1" t="s">
        <v>111</v>
      </c>
      <c r="D52" t="s">
        <v>13</v>
      </c>
      <c r="E52" t="s">
        <v>112</v>
      </c>
      <c r="F52" t="b">
        <f>FALSE()</f>
        <v>0</v>
      </c>
    </row>
    <row r="53" spans="1:6" x14ac:dyDescent="0.25">
      <c r="A53" s="8" t="s">
        <v>279</v>
      </c>
      <c r="B53" s="9" t="s">
        <v>280</v>
      </c>
      <c r="C53" s="1" t="s">
        <v>111</v>
      </c>
      <c r="D53" t="s">
        <v>13</v>
      </c>
      <c r="E53" t="s">
        <v>239</v>
      </c>
      <c r="F53" t="b">
        <f>FALSE()</f>
        <v>0</v>
      </c>
    </row>
    <row r="54" spans="1:6" x14ac:dyDescent="0.25">
      <c r="A54" s="8" t="s">
        <v>253</v>
      </c>
      <c r="B54" s="9" t="s">
        <v>254</v>
      </c>
      <c r="C54" s="1" t="s">
        <v>111</v>
      </c>
      <c r="D54" t="s">
        <v>13</v>
      </c>
      <c r="E54" t="s">
        <v>239</v>
      </c>
      <c r="F54" t="b">
        <f>FALSE()</f>
        <v>0</v>
      </c>
    </row>
    <row r="55" spans="1:6" x14ac:dyDescent="0.25">
      <c r="A55" s="8" t="s">
        <v>201</v>
      </c>
      <c r="B55" s="9" t="s">
        <v>202</v>
      </c>
      <c r="C55" s="1" t="s">
        <v>111</v>
      </c>
      <c r="D55" t="s">
        <v>13</v>
      </c>
      <c r="E55" t="s">
        <v>200</v>
      </c>
      <c r="F55" t="b">
        <f>FALSE()</f>
        <v>0</v>
      </c>
    </row>
    <row r="56" spans="1:6" x14ac:dyDescent="0.25">
      <c r="A56" s="8" t="s">
        <v>140</v>
      </c>
      <c r="B56" s="9" t="s">
        <v>141</v>
      </c>
      <c r="C56" s="1" t="s">
        <v>91</v>
      </c>
      <c r="D56" t="s">
        <v>13</v>
      </c>
      <c r="E56" t="s">
        <v>129</v>
      </c>
      <c r="F56" t="b">
        <f>FALSE()</f>
        <v>0</v>
      </c>
    </row>
    <row r="57" spans="1:6" x14ac:dyDescent="0.25">
      <c r="A57" s="8" t="s">
        <v>127</v>
      </c>
      <c r="B57" s="9" t="s">
        <v>128</v>
      </c>
      <c r="C57" s="1" t="s">
        <v>91</v>
      </c>
      <c r="D57" t="s">
        <v>13</v>
      </c>
      <c r="E57" t="s">
        <v>129</v>
      </c>
      <c r="F57" t="b">
        <f>FALSE()</f>
        <v>0</v>
      </c>
    </row>
    <row r="58" spans="1:6" x14ac:dyDescent="0.25">
      <c r="A58" s="8" t="s">
        <v>132</v>
      </c>
      <c r="B58" s="9" t="s">
        <v>133</v>
      </c>
      <c r="C58" s="1" t="s">
        <v>91</v>
      </c>
      <c r="D58" t="s">
        <v>13</v>
      </c>
      <c r="E58" t="s">
        <v>129</v>
      </c>
      <c r="F58" t="b">
        <f>FALSE()</f>
        <v>0</v>
      </c>
    </row>
    <row r="59" spans="1:6" x14ac:dyDescent="0.25">
      <c r="A59" s="8" t="s">
        <v>134</v>
      </c>
      <c r="B59" s="9" t="s">
        <v>135</v>
      </c>
      <c r="C59" s="1" t="s">
        <v>91</v>
      </c>
      <c r="D59" t="s">
        <v>13</v>
      </c>
      <c r="E59" t="s">
        <v>129</v>
      </c>
      <c r="F59" t="b">
        <f>FALSE()</f>
        <v>0</v>
      </c>
    </row>
    <row r="60" spans="1:6" x14ac:dyDescent="0.25">
      <c r="A60" s="8" t="s">
        <v>136</v>
      </c>
      <c r="B60" s="9" t="s">
        <v>137</v>
      </c>
      <c r="C60" s="1" t="s">
        <v>91</v>
      </c>
      <c r="D60" t="s">
        <v>13</v>
      </c>
      <c r="E60" t="s">
        <v>129</v>
      </c>
      <c r="F60" t="b">
        <f>FALSE()</f>
        <v>0</v>
      </c>
    </row>
    <row r="61" spans="1:6" x14ac:dyDescent="0.25">
      <c r="A61" s="8" t="s">
        <v>234</v>
      </c>
      <c r="B61" s="9" t="s">
        <v>235</v>
      </c>
      <c r="C61" s="1" t="s">
        <v>91</v>
      </c>
      <c r="D61" t="s">
        <v>13</v>
      </c>
      <c r="E61" t="s">
        <v>217</v>
      </c>
      <c r="F61" t="b">
        <f>FALSE()</f>
        <v>0</v>
      </c>
    </row>
    <row r="62" spans="1:6" x14ac:dyDescent="0.25">
      <c r="A62" s="8" t="s">
        <v>146</v>
      </c>
      <c r="B62" s="9" t="s">
        <v>147</v>
      </c>
      <c r="C62" s="1" t="s">
        <v>91</v>
      </c>
      <c r="D62" t="s">
        <v>13</v>
      </c>
      <c r="E62" t="s">
        <v>129</v>
      </c>
      <c r="F62" t="b">
        <f>FALSE()</f>
        <v>0</v>
      </c>
    </row>
    <row r="63" spans="1:6" x14ac:dyDescent="0.25">
      <c r="A63" s="8" t="s">
        <v>142</v>
      </c>
      <c r="B63" s="9" t="s">
        <v>143</v>
      </c>
      <c r="C63" s="1" t="s">
        <v>91</v>
      </c>
      <c r="D63" t="s">
        <v>13</v>
      </c>
      <c r="E63" t="s">
        <v>129</v>
      </c>
      <c r="F63" t="b">
        <f>FALSE()</f>
        <v>0</v>
      </c>
    </row>
    <row r="64" spans="1:6" x14ac:dyDescent="0.25">
      <c r="A64" s="8" t="s">
        <v>214</v>
      </c>
      <c r="B64" s="11" t="s">
        <v>215</v>
      </c>
      <c r="C64" s="1" t="s">
        <v>91</v>
      </c>
      <c r="D64" t="s">
        <v>13</v>
      </c>
      <c r="E64" t="s">
        <v>209</v>
      </c>
      <c r="F64" t="b">
        <f>FALSE()</f>
        <v>0</v>
      </c>
    </row>
    <row r="65" spans="1:6" x14ac:dyDescent="0.25">
      <c r="A65" s="8" t="s">
        <v>344</v>
      </c>
      <c r="B65" s="9" t="s">
        <v>345</v>
      </c>
      <c r="C65" s="1" t="s">
        <v>91</v>
      </c>
      <c r="D65" t="s">
        <v>13</v>
      </c>
      <c r="E65" t="s">
        <v>341</v>
      </c>
      <c r="F65" t="b">
        <f>FALSE()</f>
        <v>0</v>
      </c>
    </row>
    <row r="66" spans="1:6" x14ac:dyDescent="0.25">
      <c r="A66" s="8" t="s">
        <v>329</v>
      </c>
      <c r="B66" s="9" t="s">
        <v>330</v>
      </c>
      <c r="C66" s="1" t="s">
        <v>91</v>
      </c>
      <c r="D66" t="s">
        <v>13</v>
      </c>
      <c r="E66" t="s">
        <v>317</v>
      </c>
      <c r="F66" t="b">
        <f>FALSE()</f>
        <v>0</v>
      </c>
    </row>
    <row r="67" spans="1:6" x14ac:dyDescent="0.25">
      <c r="A67" s="8" t="s">
        <v>333</v>
      </c>
      <c r="B67" s="9" t="s">
        <v>334</v>
      </c>
      <c r="C67" s="1" t="s">
        <v>91</v>
      </c>
      <c r="D67" t="s">
        <v>13</v>
      </c>
      <c r="E67" t="s">
        <v>332</v>
      </c>
      <c r="F67" t="b">
        <f>FALSE()</f>
        <v>0</v>
      </c>
    </row>
    <row r="68" spans="1:6" x14ac:dyDescent="0.25">
      <c r="A68" s="8" t="s">
        <v>144</v>
      </c>
      <c r="B68" s="9" t="s">
        <v>145</v>
      </c>
      <c r="C68" s="1" t="s">
        <v>91</v>
      </c>
      <c r="D68" t="s">
        <v>13</v>
      </c>
      <c r="E68" t="s">
        <v>129</v>
      </c>
      <c r="F68" t="b">
        <f>FALSE()</f>
        <v>0</v>
      </c>
    </row>
    <row r="69" spans="1:6" x14ac:dyDescent="0.25">
      <c r="A69" s="8" t="s">
        <v>169</v>
      </c>
      <c r="B69" s="9" t="s">
        <v>170</v>
      </c>
      <c r="C69" s="1" t="s">
        <v>91</v>
      </c>
      <c r="D69" t="s">
        <v>13</v>
      </c>
      <c r="E69" t="s">
        <v>152</v>
      </c>
      <c r="F69" t="b">
        <f>FALSE()</f>
        <v>0</v>
      </c>
    </row>
    <row r="70" spans="1:6" x14ac:dyDescent="0.25">
      <c r="A70" s="8" t="s">
        <v>224</v>
      </c>
      <c r="B70" s="9" t="s">
        <v>225</v>
      </c>
      <c r="C70" s="1" t="s">
        <v>91</v>
      </c>
      <c r="D70" t="s">
        <v>13</v>
      </c>
      <c r="E70" t="s">
        <v>217</v>
      </c>
      <c r="F70" t="b">
        <f>FALSE()</f>
        <v>0</v>
      </c>
    </row>
    <row r="71" spans="1:6" x14ac:dyDescent="0.25">
      <c r="A71" s="8" t="s">
        <v>166</v>
      </c>
      <c r="B71" s="9" t="s">
        <v>167</v>
      </c>
      <c r="C71" s="1" t="s">
        <v>91</v>
      </c>
      <c r="D71" t="s">
        <v>13</v>
      </c>
      <c r="E71" t="s">
        <v>152</v>
      </c>
      <c r="F71" t="b">
        <f>FALSE()</f>
        <v>0</v>
      </c>
    </row>
    <row r="72" spans="1:6" x14ac:dyDescent="0.25">
      <c r="A72" s="8" t="s">
        <v>216</v>
      </c>
      <c r="B72" s="9" t="s">
        <v>167</v>
      </c>
      <c r="C72" s="1" t="s">
        <v>91</v>
      </c>
      <c r="D72" t="s">
        <v>13</v>
      </c>
      <c r="E72" t="s">
        <v>217</v>
      </c>
      <c r="F72" t="b">
        <f>FALSE()</f>
        <v>0</v>
      </c>
    </row>
    <row r="73" spans="1:6" x14ac:dyDescent="0.25">
      <c r="A73" s="8" t="s">
        <v>342</v>
      </c>
      <c r="B73" s="9" t="s">
        <v>343</v>
      </c>
      <c r="C73" s="1" t="s">
        <v>91</v>
      </c>
      <c r="D73" t="s">
        <v>13</v>
      </c>
      <c r="E73" t="s">
        <v>341</v>
      </c>
      <c r="F73" t="b">
        <f>FALSE()</f>
        <v>0</v>
      </c>
    </row>
    <row r="74" spans="1:6" x14ac:dyDescent="0.25">
      <c r="A74" s="8" t="s">
        <v>173</v>
      </c>
      <c r="B74" s="9" t="s">
        <v>174</v>
      </c>
      <c r="C74" s="1" t="s">
        <v>91</v>
      </c>
      <c r="D74" t="s">
        <v>13</v>
      </c>
      <c r="E74" t="s">
        <v>152</v>
      </c>
      <c r="F74" t="b">
        <f>FALSE()</f>
        <v>0</v>
      </c>
    </row>
    <row r="75" spans="1:6" x14ac:dyDescent="0.25">
      <c r="A75" s="8" t="s">
        <v>230</v>
      </c>
      <c r="B75" s="9" t="s">
        <v>231</v>
      </c>
      <c r="C75" s="1" t="s">
        <v>91</v>
      </c>
      <c r="D75" t="s">
        <v>13</v>
      </c>
      <c r="E75" t="s">
        <v>217</v>
      </c>
      <c r="F75" t="b">
        <f>FALSE()</f>
        <v>0</v>
      </c>
    </row>
    <row r="76" spans="1:6" x14ac:dyDescent="0.25">
      <c r="A76" s="8" t="s">
        <v>226</v>
      </c>
      <c r="B76" s="9" t="s">
        <v>227</v>
      </c>
      <c r="C76" s="1" t="s">
        <v>91</v>
      </c>
      <c r="D76" t="s">
        <v>13</v>
      </c>
      <c r="E76" t="s">
        <v>217</v>
      </c>
      <c r="F76" t="b">
        <f>FALSE()</f>
        <v>0</v>
      </c>
    </row>
    <row r="77" spans="1:6" x14ac:dyDescent="0.25">
      <c r="A77" s="8" t="s">
        <v>130</v>
      </c>
      <c r="B77" s="9" t="s">
        <v>131</v>
      </c>
      <c r="C77" s="1" t="s">
        <v>91</v>
      </c>
      <c r="D77" t="s">
        <v>13</v>
      </c>
      <c r="E77" t="s">
        <v>129</v>
      </c>
      <c r="F77" t="b">
        <f>FALSE()</f>
        <v>0</v>
      </c>
    </row>
    <row r="78" spans="1:6" x14ac:dyDescent="0.25">
      <c r="A78" s="8" t="s">
        <v>339</v>
      </c>
      <c r="B78" s="9" t="s">
        <v>340</v>
      </c>
      <c r="C78" s="1" t="s">
        <v>91</v>
      </c>
      <c r="D78" t="s">
        <v>13</v>
      </c>
      <c r="E78" t="s">
        <v>341</v>
      </c>
      <c r="F78" t="b">
        <f>FALSE()</f>
        <v>0</v>
      </c>
    </row>
    <row r="79" spans="1:6" x14ac:dyDescent="0.25">
      <c r="A79" s="8" t="s">
        <v>171</v>
      </c>
      <c r="B79" s="9" t="s">
        <v>172</v>
      </c>
      <c r="C79" s="1" t="s">
        <v>91</v>
      </c>
      <c r="D79" t="s">
        <v>13</v>
      </c>
      <c r="E79" t="s">
        <v>152</v>
      </c>
      <c r="F79" t="b">
        <f>FALSE()</f>
        <v>0</v>
      </c>
    </row>
    <row r="80" spans="1:6" x14ac:dyDescent="0.25">
      <c r="A80" s="8" t="s">
        <v>220</v>
      </c>
      <c r="B80" s="9" t="s">
        <v>221</v>
      </c>
      <c r="C80" s="1" t="s">
        <v>91</v>
      </c>
      <c r="D80" t="s">
        <v>13</v>
      </c>
      <c r="E80" t="s">
        <v>217</v>
      </c>
      <c r="F80" t="b">
        <f>FALSE()</f>
        <v>0</v>
      </c>
    </row>
    <row r="81" spans="1:6" x14ac:dyDescent="0.25">
      <c r="A81" s="8" t="s">
        <v>150</v>
      </c>
      <c r="B81" s="9" t="s">
        <v>151</v>
      </c>
      <c r="C81" s="1" t="s">
        <v>91</v>
      </c>
      <c r="D81" t="s">
        <v>13</v>
      </c>
      <c r="E81" t="s">
        <v>152</v>
      </c>
      <c r="F81" t="b">
        <f>FALSE()</f>
        <v>0</v>
      </c>
    </row>
    <row r="82" spans="1:6" x14ac:dyDescent="0.25">
      <c r="A82" s="8" t="s">
        <v>228</v>
      </c>
      <c r="B82" s="9" t="s">
        <v>229</v>
      </c>
      <c r="C82" s="1" t="s">
        <v>91</v>
      </c>
      <c r="D82" t="s">
        <v>13</v>
      </c>
      <c r="E82" t="s">
        <v>217</v>
      </c>
      <c r="F82" t="b">
        <f>FALSE()</f>
        <v>0</v>
      </c>
    </row>
    <row r="83" spans="1:6" x14ac:dyDescent="0.25">
      <c r="A83" s="8" t="s">
        <v>157</v>
      </c>
      <c r="B83" s="9" t="s">
        <v>158</v>
      </c>
      <c r="C83" s="1" t="s">
        <v>91</v>
      </c>
      <c r="D83" t="s">
        <v>13</v>
      </c>
      <c r="E83" t="s">
        <v>152</v>
      </c>
      <c r="F83" t="b">
        <f>FALSE()</f>
        <v>0</v>
      </c>
    </row>
    <row r="84" spans="1:6" x14ac:dyDescent="0.25">
      <c r="A84" s="8" t="s">
        <v>164</v>
      </c>
      <c r="B84" s="9" t="s">
        <v>165</v>
      </c>
      <c r="C84" s="1" t="s">
        <v>91</v>
      </c>
      <c r="D84" t="s">
        <v>13</v>
      </c>
      <c r="E84" t="s">
        <v>152</v>
      </c>
      <c r="F84" t="b">
        <f>FALSE()</f>
        <v>0</v>
      </c>
    </row>
    <row r="85" spans="1:6" x14ac:dyDescent="0.25">
      <c r="A85" s="8" t="s">
        <v>348</v>
      </c>
      <c r="B85" s="9" t="s">
        <v>349</v>
      </c>
      <c r="C85" s="1" t="s">
        <v>91</v>
      </c>
      <c r="D85" t="s">
        <v>13</v>
      </c>
      <c r="E85" t="s">
        <v>341</v>
      </c>
      <c r="F85" t="b">
        <f>FALSE()</f>
        <v>0</v>
      </c>
    </row>
    <row r="86" spans="1:6" x14ac:dyDescent="0.25">
      <c r="A86" s="8" t="s">
        <v>222</v>
      </c>
      <c r="B86" s="9" t="s">
        <v>223</v>
      </c>
      <c r="C86" s="1" t="s">
        <v>91</v>
      </c>
      <c r="D86" t="s">
        <v>13</v>
      </c>
      <c r="E86" t="s">
        <v>217</v>
      </c>
      <c r="F86" t="b">
        <f>FALSE()</f>
        <v>0</v>
      </c>
    </row>
    <row r="87" spans="1:6" x14ac:dyDescent="0.25">
      <c r="A87" s="8" t="s">
        <v>153</v>
      </c>
      <c r="B87" s="9" t="s">
        <v>154</v>
      </c>
      <c r="C87" s="1" t="s">
        <v>91</v>
      </c>
      <c r="D87" t="s">
        <v>13</v>
      </c>
      <c r="E87" t="s">
        <v>152</v>
      </c>
      <c r="F87" t="b">
        <f>FALSE()</f>
        <v>0</v>
      </c>
    </row>
    <row r="88" spans="1:6" x14ac:dyDescent="0.25">
      <c r="A88" s="8" t="s">
        <v>168</v>
      </c>
      <c r="B88" s="9" t="s">
        <v>154</v>
      </c>
      <c r="C88" s="1" t="s">
        <v>91</v>
      </c>
      <c r="D88" t="s">
        <v>13</v>
      </c>
      <c r="E88" t="s">
        <v>152</v>
      </c>
      <c r="F88" t="b">
        <f>FALSE()</f>
        <v>0</v>
      </c>
    </row>
    <row r="89" spans="1:6" x14ac:dyDescent="0.25">
      <c r="A89" s="8" t="s">
        <v>232</v>
      </c>
      <c r="B89" s="9" t="s">
        <v>233</v>
      </c>
      <c r="C89" s="1" t="s">
        <v>91</v>
      </c>
      <c r="D89" t="s">
        <v>13</v>
      </c>
      <c r="E89" t="s">
        <v>217</v>
      </c>
      <c r="F89" t="b">
        <f>FALSE()</f>
        <v>0</v>
      </c>
    </row>
    <row r="90" spans="1:6" x14ac:dyDescent="0.25">
      <c r="A90" s="8" t="s">
        <v>218</v>
      </c>
      <c r="B90" s="9" t="s">
        <v>219</v>
      </c>
      <c r="C90" s="1" t="s">
        <v>91</v>
      </c>
      <c r="D90" t="s">
        <v>13</v>
      </c>
      <c r="E90" t="s">
        <v>217</v>
      </c>
      <c r="F90" t="b">
        <f>FALSE()</f>
        <v>0</v>
      </c>
    </row>
    <row r="91" spans="1:6" x14ac:dyDescent="0.25">
      <c r="A91" s="8" t="s">
        <v>138</v>
      </c>
      <c r="B91" s="9" t="s">
        <v>139</v>
      </c>
      <c r="C91" s="1" t="s">
        <v>91</v>
      </c>
      <c r="D91" t="s">
        <v>13</v>
      </c>
      <c r="E91" t="s">
        <v>129</v>
      </c>
      <c r="F91" t="b">
        <f>FALSE()</f>
        <v>0</v>
      </c>
    </row>
    <row r="92" spans="1:6" x14ac:dyDescent="0.25">
      <c r="A92" s="8" t="s">
        <v>236</v>
      </c>
      <c r="B92" s="9" t="s">
        <v>237</v>
      </c>
      <c r="C92" s="1" t="s">
        <v>91</v>
      </c>
      <c r="D92" t="s">
        <v>13</v>
      </c>
      <c r="E92" t="s">
        <v>217</v>
      </c>
      <c r="F92" t="b">
        <f>FALSE()</f>
        <v>0</v>
      </c>
    </row>
    <row r="93" spans="1:6" x14ac:dyDescent="0.25">
      <c r="A93" s="8" t="s">
        <v>177</v>
      </c>
      <c r="B93" s="9" t="s">
        <v>178</v>
      </c>
      <c r="C93" s="1" t="s">
        <v>91</v>
      </c>
      <c r="D93" t="s">
        <v>13</v>
      </c>
      <c r="E93" t="s">
        <v>152</v>
      </c>
      <c r="F93" t="b">
        <f>FALSE()</f>
        <v>0</v>
      </c>
    </row>
    <row r="94" spans="1:6" x14ac:dyDescent="0.25">
      <c r="A94" s="8" t="s">
        <v>148</v>
      </c>
      <c r="B94" s="9" t="s">
        <v>149</v>
      </c>
      <c r="C94" s="1" t="s">
        <v>91</v>
      </c>
      <c r="D94" t="s">
        <v>13</v>
      </c>
      <c r="E94" t="s">
        <v>129</v>
      </c>
      <c r="F94" t="b">
        <f>FALSE()</f>
        <v>0</v>
      </c>
    </row>
    <row r="95" spans="1:6" x14ac:dyDescent="0.25">
      <c r="A95" s="8" t="s">
        <v>346</v>
      </c>
      <c r="B95" s="9" t="s">
        <v>347</v>
      </c>
      <c r="C95" s="1" t="s">
        <v>91</v>
      </c>
      <c r="D95" t="s">
        <v>13</v>
      </c>
      <c r="E95" t="s">
        <v>341</v>
      </c>
      <c r="F95" t="b">
        <f>FALSE()</f>
        <v>0</v>
      </c>
    </row>
    <row r="96" spans="1:6" x14ac:dyDescent="0.25">
      <c r="A96" s="8" t="s">
        <v>212</v>
      </c>
      <c r="B96" s="9" t="s">
        <v>213</v>
      </c>
      <c r="C96" s="1" t="s">
        <v>91</v>
      </c>
      <c r="D96" t="s">
        <v>13</v>
      </c>
      <c r="E96" t="s">
        <v>209</v>
      </c>
      <c r="F96" t="b">
        <f>FALSE()</f>
        <v>0</v>
      </c>
    </row>
    <row r="97" spans="1:6" x14ac:dyDescent="0.25">
      <c r="A97" s="8" t="s">
        <v>335</v>
      </c>
      <c r="B97" s="9" t="s">
        <v>336</v>
      </c>
      <c r="C97" s="1" t="s">
        <v>91</v>
      </c>
      <c r="D97" t="s">
        <v>13</v>
      </c>
      <c r="E97" t="s">
        <v>332</v>
      </c>
      <c r="F97" t="b">
        <f>FALSE()</f>
        <v>0</v>
      </c>
    </row>
    <row r="98" spans="1:6" x14ac:dyDescent="0.25">
      <c r="A98" s="8" t="s">
        <v>175</v>
      </c>
      <c r="B98" s="9" t="s">
        <v>176</v>
      </c>
      <c r="C98" s="1" t="s">
        <v>91</v>
      </c>
      <c r="D98" t="s">
        <v>13</v>
      </c>
      <c r="E98" t="s">
        <v>152</v>
      </c>
      <c r="F98" t="b">
        <f>FALSE()</f>
        <v>0</v>
      </c>
    </row>
    <row r="99" spans="1:6" x14ac:dyDescent="0.25">
      <c r="A99" s="8" t="s">
        <v>331</v>
      </c>
      <c r="B99" s="9" t="s">
        <v>176</v>
      </c>
      <c r="C99" s="1" t="s">
        <v>91</v>
      </c>
      <c r="D99" t="s">
        <v>13</v>
      </c>
      <c r="E99" t="s">
        <v>332</v>
      </c>
      <c r="F99" t="b">
        <f>FALSE()</f>
        <v>0</v>
      </c>
    </row>
    <row r="100" spans="1:6" x14ac:dyDescent="0.25">
      <c r="A100" s="8" t="s">
        <v>159</v>
      </c>
      <c r="B100" s="9" t="s">
        <v>160</v>
      </c>
      <c r="C100" s="1" t="s">
        <v>91</v>
      </c>
      <c r="D100" t="s">
        <v>13</v>
      </c>
      <c r="E100" t="s">
        <v>152</v>
      </c>
      <c r="F100" t="b">
        <f>FALSE()</f>
        <v>0</v>
      </c>
    </row>
    <row r="101" spans="1:6" x14ac:dyDescent="0.25">
      <c r="A101" s="8" t="s">
        <v>155</v>
      </c>
      <c r="B101" s="9" t="s">
        <v>156</v>
      </c>
      <c r="C101" s="1" t="s">
        <v>91</v>
      </c>
      <c r="D101" t="s">
        <v>13</v>
      </c>
      <c r="E101" t="s">
        <v>152</v>
      </c>
      <c r="F101" t="b">
        <f>FALSE()</f>
        <v>0</v>
      </c>
    </row>
    <row r="102" spans="1:6" x14ac:dyDescent="0.25">
      <c r="A102" s="8" t="s">
        <v>161</v>
      </c>
      <c r="B102" s="9" t="s">
        <v>162</v>
      </c>
      <c r="C102" s="1" t="s">
        <v>91</v>
      </c>
      <c r="D102" t="s">
        <v>13</v>
      </c>
      <c r="E102" t="s">
        <v>152</v>
      </c>
      <c r="F102" t="b">
        <f>FALSE()</f>
        <v>0</v>
      </c>
    </row>
    <row r="103" spans="1:6" x14ac:dyDescent="0.25">
      <c r="A103" s="8" t="s">
        <v>163</v>
      </c>
      <c r="B103" s="9"/>
      <c r="C103" s="1" t="s">
        <v>91</v>
      </c>
      <c r="D103" t="s">
        <v>13</v>
      </c>
      <c r="E103" t="s">
        <v>152</v>
      </c>
      <c r="F103" t="b">
        <f>FALSE()</f>
        <v>0</v>
      </c>
    </row>
    <row r="104" spans="1:6" x14ac:dyDescent="0.25">
      <c r="A104" s="8" t="s">
        <v>326</v>
      </c>
      <c r="B104" s="9" t="s">
        <v>327</v>
      </c>
      <c r="C104" s="1" t="s">
        <v>42</v>
      </c>
      <c r="D104" t="s">
        <v>13</v>
      </c>
      <c r="E104" t="s">
        <v>317</v>
      </c>
      <c r="F104" t="b">
        <f>FALSE()</f>
        <v>0</v>
      </c>
    </row>
    <row r="105" spans="1:6" x14ac:dyDescent="0.25">
      <c r="A105" s="8" t="s">
        <v>179</v>
      </c>
      <c r="B105" s="9" t="s">
        <v>180</v>
      </c>
      <c r="C105" s="1" t="s">
        <v>181</v>
      </c>
      <c r="D105" t="s">
        <v>13</v>
      </c>
      <c r="E105" t="s">
        <v>181</v>
      </c>
      <c r="F105" t="b">
        <f>FALSE()</f>
        <v>0</v>
      </c>
    </row>
    <row r="106" spans="1:6" x14ac:dyDescent="0.25">
      <c r="A106" s="8" t="s">
        <v>188</v>
      </c>
      <c r="B106" s="9" t="s">
        <v>189</v>
      </c>
      <c r="C106" s="1" t="s">
        <v>181</v>
      </c>
      <c r="D106" t="s">
        <v>13</v>
      </c>
      <c r="E106" t="s">
        <v>181</v>
      </c>
      <c r="F106" t="b">
        <f>FALSE()</f>
        <v>0</v>
      </c>
    </row>
    <row r="107" spans="1:6" x14ac:dyDescent="0.25">
      <c r="A107" s="8" t="s">
        <v>190</v>
      </c>
      <c r="B107" s="9" t="s">
        <v>191</v>
      </c>
      <c r="C107" s="1" t="s">
        <v>181</v>
      </c>
      <c r="D107" t="s">
        <v>13</v>
      </c>
      <c r="E107" t="s">
        <v>181</v>
      </c>
      <c r="F107" t="b">
        <f>FALSE()</f>
        <v>0</v>
      </c>
    </row>
    <row r="108" spans="1:6" x14ac:dyDescent="0.25">
      <c r="A108" s="8" t="s">
        <v>196</v>
      </c>
      <c r="B108" s="9" t="s">
        <v>197</v>
      </c>
      <c r="C108" s="1" t="s">
        <v>181</v>
      </c>
      <c r="D108" t="s">
        <v>13</v>
      </c>
      <c r="E108" t="s">
        <v>181</v>
      </c>
      <c r="F108" t="b">
        <f>FALSE()</f>
        <v>0</v>
      </c>
    </row>
    <row r="109" spans="1:6" x14ac:dyDescent="0.25">
      <c r="A109" s="8" t="s">
        <v>194</v>
      </c>
      <c r="B109" s="9" t="s">
        <v>195</v>
      </c>
      <c r="C109" s="1" t="s">
        <v>181</v>
      </c>
      <c r="D109" t="s">
        <v>13</v>
      </c>
      <c r="E109" t="s">
        <v>181</v>
      </c>
      <c r="F109" t="b">
        <f>FALSE()</f>
        <v>0</v>
      </c>
    </row>
    <row r="110" spans="1:6" x14ac:dyDescent="0.25">
      <c r="A110" s="8" t="s">
        <v>184</v>
      </c>
      <c r="B110" s="9" t="s">
        <v>185</v>
      </c>
      <c r="C110" s="1" t="s">
        <v>181</v>
      </c>
      <c r="D110" t="s">
        <v>13</v>
      </c>
      <c r="E110" t="s">
        <v>181</v>
      </c>
      <c r="F110" t="b">
        <f>FALSE()</f>
        <v>0</v>
      </c>
    </row>
    <row r="111" spans="1:6" x14ac:dyDescent="0.25">
      <c r="A111" s="8" t="s">
        <v>182</v>
      </c>
      <c r="B111" s="9" t="s">
        <v>183</v>
      </c>
      <c r="C111" s="1" t="s">
        <v>181</v>
      </c>
      <c r="D111" t="s">
        <v>13</v>
      </c>
      <c r="E111" t="s">
        <v>181</v>
      </c>
      <c r="F111" t="b">
        <f>FALSE()</f>
        <v>0</v>
      </c>
    </row>
    <row r="112" spans="1:6" x14ac:dyDescent="0.25">
      <c r="A112" s="8" t="s">
        <v>186</v>
      </c>
      <c r="B112" s="9" t="s">
        <v>187</v>
      </c>
      <c r="C112" s="1" t="s">
        <v>181</v>
      </c>
      <c r="D112" t="s">
        <v>13</v>
      </c>
      <c r="E112" t="s">
        <v>181</v>
      </c>
      <c r="F112" t="b">
        <f>FALSE()</f>
        <v>0</v>
      </c>
    </row>
    <row r="113" spans="1:8" x14ac:dyDescent="0.25">
      <c r="A113" s="8" t="s">
        <v>192</v>
      </c>
      <c r="B113" s="9" t="s">
        <v>193</v>
      </c>
      <c r="C113" s="1" t="s">
        <v>181</v>
      </c>
      <c r="D113" t="s">
        <v>13</v>
      </c>
      <c r="E113" t="s">
        <v>181</v>
      </c>
      <c r="F113" t="b">
        <f>FALSE()</f>
        <v>0</v>
      </c>
      <c r="G113" s="2"/>
      <c r="H113" s="2"/>
    </row>
    <row r="114" spans="1:8" x14ac:dyDescent="0.25">
      <c r="A114" s="8" t="s">
        <v>315</v>
      </c>
      <c r="B114" s="9" t="s">
        <v>316</v>
      </c>
      <c r="C114" s="1" t="s">
        <v>52</v>
      </c>
      <c r="D114" t="s">
        <v>13</v>
      </c>
      <c r="E114" t="s">
        <v>317</v>
      </c>
      <c r="F114" t="b">
        <f>FALSE()</f>
        <v>0</v>
      </c>
    </row>
    <row r="115" spans="1:8" x14ac:dyDescent="0.25">
      <c r="A115" s="8" t="s">
        <v>322</v>
      </c>
      <c r="B115" s="9" t="s">
        <v>323</v>
      </c>
      <c r="C115" s="1" t="s">
        <v>61</v>
      </c>
      <c r="D115" t="s">
        <v>13</v>
      </c>
      <c r="E115" t="s">
        <v>317</v>
      </c>
      <c r="F115" t="b">
        <f>FALSE()</f>
        <v>0</v>
      </c>
    </row>
    <row r="116" spans="1:8" x14ac:dyDescent="0.25">
      <c r="A116" s="8" t="s">
        <v>324</v>
      </c>
      <c r="B116" s="9" t="s">
        <v>325</v>
      </c>
      <c r="C116" s="1" t="s">
        <v>61</v>
      </c>
      <c r="D116" t="s">
        <v>13</v>
      </c>
      <c r="E116" t="s">
        <v>317</v>
      </c>
      <c r="F116" t="b">
        <f>FALSE()</f>
        <v>0</v>
      </c>
    </row>
    <row r="117" spans="1:8" x14ac:dyDescent="0.25">
      <c r="A117" s="8" t="s">
        <v>300</v>
      </c>
      <c r="B117" s="9" t="s">
        <v>301</v>
      </c>
      <c r="C117" s="1" t="s">
        <v>293</v>
      </c>
      <c r="D117" t="s">
        <v>13</v>
      </c>
      <c r="E117" t="s">
        <v>293</v>
      </c>
      <c r="F117" t="b">
        <f>FALSE()</f>
        <v>0</v>
      </c>
    </row>
    <row r="118" spans="1:8" x14ac:dyDescent="0.25">
      <c r="A118" s="8" t="s">
        <v>310</v>
      </c>
      <c r="B118" s="9" t="s">
        <v>311</v>
      </c>
      <c r="C118" s="1" t="s">
        <v>293</v>
      </c>
      <c r="D118" t="s">
        <v>13</v>
      </c>
      <c r="E118" t="s">
        <v>293</v>
      </c>
      <c r="F118" t="b">
        <f>FALSE()</f>
        <v>0</v>
      </c>
    </row>
    <row r="119" spans="1:8" x14ac:dyDescent="0.25">
      <c r="A119" s="8" t="s">
        <v>304</v>
      </c>
      <c r="B119" s="9" t="s">
        <v>305</v>
      </c>
      <c r="C119" s="1" t="s">
        <v>293</v>
      </c>
      <c r="D119" t="s">
        <v>13</v>
      </c>
      <c r="E119" t="s">
        <v>293</v>
      </c>
      <c r="F119" t="b">
        <f>FALSE()</f>
        <v>0</v>
      </c>
    </row>
    <row r="120" spans="1:8" x14ac:dyDescent="0.25">
      <c r="A120" s="8" t="s">
        <v>312</v>
      </c>
      <c r="B120" s="9" t="s">
        <v>305</v>
      </c>
      <c r="C120" s="1" t="s">
        <v>293</v>
      </c>
      <c r="D120" t="s">
        <v>13</v>
      </c>
      <c r="E120" t="s">
        <v>293</v>
      </c>
      <c r="F120" t="b">
        <f>FALSE()</f>
        <v>0</v>
      </c>
    </row>
    <row r="121" spans="1:8" x14ac:dyDescent="0.25">
      <c r="A121" s="8" t="s">
        <v>291</v>
      </c>
      <c r="B121" s="9" t="s">
        <v>292</v>
      </c>
      <c r="C121" s="1" t="s">
        <v>293</v>
      </c>
      <c r="D121" t="s">
        <v>13</v>
      </c>
      <c r="E121" t="s">
        <v>293</v>
      </c>
      <c r="F121" t="b">
        <f>FALSE()</f>
        <v>0</v>
      </c>
    </row>
    <row r="122" spans="1:8" x14ac:dyDescent="0.25">
      <c r="A122" s="8" t="s">
        <v>302</v>
      </c>
      <c r="B122" s="9" t="s">
        <v>303</v>
      </c>
      <c r="C122" s="1" t="s">
        <v>293</v>
      </c>
      <c r="D122" t="s">
        <v>13</v>
      </c>
      <c r="E122" t="s">
        <v>293</v>
      </c>
      <c r="F122" t="b">
        <f>FALSE()</f>
        <v>0</v>
      </c>
    </row>
    <row r="123" spans="1:8" x14ac:dyDescent="0.25">
      <c r="A123" s="8" t="s">
        <v>294</v>
      </c>
      <c r="B123" s="9" t="s">
        <v>295</v>
      </c>
      <c r="C123" s="1" t="s">
        <v>293</v>
      </c>
      <c r="D123" t="s">
        <v>13</v>
      </c>
      <c r="E123" t="s">
        <v>293</v>
      </c>
      <c r="F123" t="b">
        <f>FALSE()</f>
        <v>0</v>
      </c>
    </row>
    <row r="124" spans="1:8" x14ac:dyDescent="0.25">
      <c r="A124" s="8" t="s">
        <v>296</v>
      </c>
      <c r="B124" s="9" t="s">
        <v>297</v>
      </c>
      <c r="C124" s="1" t="s">
        <v>293</v>
      </c>
      <c r="D124" t="s">
        <v>13</v>
      </c>
      <c r="E124" t="s">
        <v>293</v>
      </c>
      <c r="F124" t="b">
        <f>FALSE()</f>
        <v>0</v>
      </c>
    </row>
    <row r="125" spans="1:8" x14ac:dyDescent="0.25">
      <c r="A125" s="8" t="s">
        <v>306</v>
      </c>
      <c r="B125" s="9" t="s">
        <v>307</v>
      </c>
      <c r="C125" s="1" t="s">
        <v>293</v>
      </c>
      <c r="D125" t="s">
        <v>13</v>
      </c>
      <c r="E125" t="s">
        <v>293</v>
      </c>
      <c r="F125" t="b">
        <f>FALSE()</f>
        <v>0</v>
      </c>
    </row>
    <row r="126" spans="1:8" x14ac:dyDescent="0.25">
      <c r="A126" s="8" t="s">
        <v>308</v>
      </c>
      <c r="B126" s="9" t="s">
        <v>309</v>
      </c>
      <c r="C126" s="1" t="s">
        <v>293</v>
      </c>
      <c r="D126" t="s">
        <v>13</v>
      </c>
      <c r="E126" t="s">
        <v>293</v>
      </c>
      <c r="F126" t="b">
        <f>FALSE()</f>
        <v>0</v>
      </c>
    </row>
    <row r="127" spans="1:8" x14ac:dyDescent="0.25">
      <c r="A127" s="8" t="s">
        <v>298</v>
      </c>
      <c r="B127" s="9" t="s">
        <v>299</v>
      </c>
      <c r="C127" s="1" t="s">
        <v>293</v>
      </c>
      <c r="D127" t="s">
        <v>13</v>
      </c>
      <c r="E127" t="s">
        <v>293</v>
      </c>
      <c r="F127" t="b">
        <f>FALSE()</f>
        <v>0</v>
      </c>
    </row>
    <row r="128" spans="1:8" x14ac:dyDescent="0.25">
      <c r="A128" s="8" t="s">
        <v>313</v>
      </c>
      <c r="B128" s="9" t="s">
        <v>314</v>
      </c>
      <c r="C128" s="1" t="s">
        <v>293</v>
      </c>
      <c r="D128" t="s">
        <v>13</v>
      </c>
      <c r="E128" t="s">
        <v>293</v>
      </c>
      <c r="F128" t="b">
        <f>FALSE()</f>
        <v>0</v>
      </c>
    </row>
    <row r="129" spans="1:6" x14ac:dyDescent="0.25">
      <c r="A129" s="8" t="s">
        <v>320</v>
      </c>
      <c r="B129" s="9" t="s">
        <v>321</v>
      </c>
      <c r="C129" s="1" t="s">
        <v>68</v>
      </c>
      <c r="D129" t="s">
        <v>13</v>
      </c>
      <c r="E129" t="s">
        <v>317</v>
      </c>
      <c r="F129" t="b">
        <f>FALSE()</f>
        <v>0</v>
      </c>
    </row>
    <row r="130" spans="1:6" x14ac:dyDescent="0.25">
      <c r="A130" s="8" t="s">
        <v>318</v>
      </c>
      <c r="B130" s="9" t="s">
        <v>319</v>
      </c>
      <c r="C130" s="1" t="s">
        <v>68</v>
      </c>
      <c r="D130" t="s">
        <v>13</v>
      </c>
      <c r="E130" t="s">
        <v>317</v>
      </c>
      <c r="F130" t="b">
        <f>FALSE()</f>
        <v>0</v>
      </c>
    </row>
    <row r="131" spans="1:6" x14ac:dyDescent="0.25">
      <c r="A131" s="8" t="s">
        <v>290</v>
      </c>
      <c r="B131" s="9" t="s">
        <v>60</v>
      </c>
      <c r="C131" s="1" t="s">
        <v>72</v>
      </c>
      <c r="D131" t="s">
        <v>13</v>
      </c>
      <c r="E131" t="s">
        <v>287</v>
      </c>
      <c r="F131" t="b">
        <f>FALSE()</f>
        <v>0</v>
      </c>
    </row>
    <row r="132" spans="1:6" x14ac:dyDescent="0.25">
      <c r="A132" s="8" t="s">
        <v>285</v>
      </c>
      <c r="B132" s="9" t="s">
        <v>286</v>
      </c>
      <c r="C132" s="1" t="s">
        <v>72</v>
      </c>
      <c r="D132" t="s">
        <v>13</v>
      </c>
      <c r="E132" t="s">
        <v>287</v>
      </c>
      <c r="F132" t="b">
        <f>FALSE()</f>
        <v>0</v>
      </c>
    </row>
    <row r="133" spans="1:6" x14ac:dyDescent="0.25">
      <c r="A133" s="8" t="s">
        <v>288</v>
      </c>
      <c r="B133" s="9" t="s">
        <v>289</v>
      </c>
      <c r="C133" s="1" t="s">
        <v>72</v>
      </c>
      <c r="D133" t="s">
        <v>13</v>
      </c>
      <c r="E133" t="s">
        <v>287</v>
      </c>
      <c r="F133" t="b">
        <f>FALSE()</f>
        <v>0</v>
      </c>
    </row>
  </sheetData>
  <autoFilter ref="A1:H133" xr:uid="{00000000-0001-0000-0700-000000000000}">
    <sortState xmlns:xlrd2="http://schemas.microsoft.com/office/spreadsheetml/2017/richdata2" ref="A2:H133">
      <sortCondition ref="C1:C133"/>
    </sortState>
  </autoFilter>
  <conditionalFormatting sqref="B134:B1048576 B1">
    <cfRule type="duplicateValues" dxfId="8" priority="2"/>
    <cfRule type="duplicateValues" dxfId="7" priority="3"/>
  </conditionalFormatting>
  <hyperlinks>
    <hyperlink ref="B64" r:id="rId1" location="command/3045471278205815" xr:uid="{00000000-0004-0000-0700-000000000000}"/>
    <hyperlink ref="B2" r:id="rId2" xr:uid="{3DCA78D0-E3F8-4CCF-9614-CA3DCC1B1475}"/>
  </hyperlinks>
  <pageMargins left="0.7" right="0.7" top="0.75" bottom="0.75" header="0.511811023622047" footer="0.3"/>
  <pageSetup orientation="portrait" horizontalDpi="300" verticalDpi="300"/>
  <headerFooter>
    <oddFooter>&amp;C_x000D_x000D_&amp;1#&amp;"Aptos"&amp;8&amp;K000000 Classification: Confidential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52"/>
  <sheetViews>
    <sheetView zoomScaleNormal="100" workbookViewId="0">
      <selection activeCell="B24" sqref="B24"/>
    </sheetView>
  </sheetViews>
  <sheetFormatPr defaultColWidth="8.7109375" defaultRowHeight="15" customHeight="1" x14ac:dyDescent="0.25"/>
  <cols>
    <col min="1" max="1" width="53.28515625" style="1" customWidth="1"/>
    <col min="2" max="2" width="50.140625" style="1" customWidth="1"/>
    <col min="3" max="3" width="14.85546875" style="1" customWidth="1"/>
    <col min="4" max="4" width="10" style="1" customWidth="1"/>
    <col min="5" max="5" width="14.85546875" style="1" customWidth="1"/>
    <col min="6" max="6" width="8.85546875" style="1" customWidth="1"/>
  </cols>
  <sheetData>
    <row r="1" spans="1:8" ht="30" x14ac:dyDescent="0.25">
      <c r="A1" s="2" t="s">
        <v>0</v>
      </c>
      <c r="B1" s="2" t="s">
        <v>1</v>
      </c>
      <c r="C1" s="2" t="s">
        <v>2</v>
      </c>
      <c r="D1" s="2" t="s">
        <v>3</v>
      </c>
      <c r="E1" s="2" t="s">
        <v>4</v>
      </c>
      <c r="F1" s="2" t="s">
        <v>5</v>
      </c>
      <c r="G1" s="2" t="s">
        <v>6</v>
      </c>
      <c r="H1" s="2" t="s">
        <v>7</v>
      </c>
    </row>
    <row r="2" spans="1:8" x14ac:dyDescent="0.25">
      <c r="A2" s="1" t="s">
        <v>14</v>
      </c>
      <c r="B2" s="5" t="s">
        <v>88</v>
      </c>
      <c r="C2" s="1" t="s">
        <v>15</v>
      </c>
      <c r="D2" s="1" t="s">
        <v>353</v>
      </c>
      <c r="E2" s="1" t="s">
        <v>72</v>
      </c>
      <c r="F2" s="1" t="b">
        <f>FALSE()</f>
        <v>0</v>
      </c>
    </row>
    <row r="3" spans="1:8" x14ac:dyDescent="0.25">
      <c r="A3" s="1" t="s">
        <v>350</v>
      </c>
      <c r="B3" s="4" t="s">
        <v>351</v>
      </c>
      <c r="C3" s="1" t="s">
        <v>352</v>
      </c>
      <c r="D3" s="1" t="s">
        <v>353</v>
      </c>
      <c r="E3" s="1" t="s">
        <v>352</v>
      </c>
      <c r="F3" s="1" t="b">
        <f>FALSE()</f>
        <v>0</v>
      </c>
    </row>
    <row r="4" spans="1:8" x14ac:dyDescent="0.25">
      <c r="A4" s="1" t="s">
        <v>354</v>
      </c>
      <c r="B4" s="4" t="s">
        <v>355</v>
      </c>
      <c r="C4" s="1" t="s">
        <v>111</v>
      </c>
      <c r="D4" s="1" t="s">
        <v>353</v>
      </c>
      <c r="E4" s="1" t="s">
        <v>111</v>
      </c>
      <c r="F4" s="1" t="b">
        <f>FALSE()</f>
        <v>0</v>
      </c>
    </row>
    <row r="5" spans="1:8" x14ac:dyDescent="0.25">
      <c r="A5" s="1" t="s">
        <v>356</v>
      </c>
      <c r="B5" s="4" t="s">
        <v>357</v>
      </c>
      <c r="C5" s="1" t="s">
        <v>111</v>
      </c>
      <c r="D5" s="1" t="s">
        <v>353</v>
      </c>
      <c r="E5" s="1" t="s">
        <v>111</v>
      </c>
      <c r="F5" s="1" t="b">
        <f>FALSE()</f>
        <v>0</v>
      </c>
    </row>
    <row r="6" spans="1:8" x14ac:dyDescent="0.25">
      <c r="A6" s="1" t="s">
        <v>358</v>
      </c>
      <c r="B6" s="4" t="s">
        <v>359</v>
      </c>
      <c r="C6" s="1" t="s">
        <v>111</v>
      </c>
      <c r="D6" s="1" t="s">
        <v>353</v>
      </c>
      <c r="E6" s="1" t="s">
        <v>111</v>
      </c>
      <c r="F6" s="1" t="b">
        <f>FALSE()</f>
        <v>0</v>
      </c>
    </row>
    <row r="7" spans="1:8" x14ac:dyDescent="0.25">
      <c r="A7" s="1" t="s">
        <v>360</v>
      </c>
      <c r="B7" s="4" t="s">
        <v>361</v>
      </c>
      <c r="C7" s="1" t="s">
        <v>111</v>
      </c>
      <c r="D7" s="1" t="s">
        <v>353</v>
      </c>
      <c r="E7" s="1" t="s">
        <v>111</v>
      </c>
      <c r="F7" s="1" t="b">
        <f>FALSE()</f>
        <v>0</v>
      </c>
    </row>
    <row r="8" spans="1:8" x14ac:dyDescent="0.25">
      <c r="A8" s="1" t="s">
        <v>362</v>
      </c>
      <c r="B8" s="4" t="s">
        <v>363</v>
      </c>
      <c r="C8" s="1" t="s">
        <v>111</v>
      </c>
      <c r="D8" s="1" t="s">
        <v>353</v>
      </c>
      <c r="E8" s="1" t="s">
        <v>111</v>
      </c>
      <c r="F8" s="1" t="b">
        <f>FALSE()</f>
        <v>0</v>
      </c>
    </row>
    <row r="9" spans="1:8" x14ac:dyDescent="0.25">
      <c r="A9" s="1" t="s">
        <v>364</v>
      </c>
      <c r="B9" s="4" t="s">
        <v>365</v>
      </c>
      <c r="C9" s="1" t="s">
        <v>111</v>
      </c>
      <c r="D9" s="1" t="s">
        <v>353</v>
      </c>
      <c r="E9" s="1" t="s">
        <v>111</v>
      </c>
      <c r="F9" s="1" t="b">
        <f>FALSE()</f>
        <v>0</v>
      </c>
    </row>
    <row r="10" spans="1:8" x14ac:dyDescent="0.25">
      <c r="A10" s="1" t="s">
        <v>366</v>
      </c>
      <c r="B10" s="4" t="s">
        <v>367</v>
      </c>
      <c r="C10" s="1" t="s">
        <v>111</v>
      </c>
      <c r="D10" s="1" t="s">
        <v>353</v>
      </c>
      <c r="E10" s="1" t="s">
        <v>111</v>
      </c>
      <c r="F10" s="1" t="b">
        <f>FALSE()</f>
        <v>0</v>
      </c>
    </row>
    <row r="11" spans="1:8" x14ac:dyDescent="0.25">
      <c r="A11" s="1" t="s">
        <v>368</v>
      </c>
      <c r="B11" s="4" t="s">
        <v>369</v>
      </c>
      <c r="C11" s="1" t="s">
        <v>111</v>
      </c>
      <c r="D11" s="1" t="s">
        <v>353</v>
      </c>
      <c r="E11" s="1" t="s">
        <v>111</v>
      </c>
      <c r="F11" s="1" t="b">
        <f>FALSE()</f>
        <v>0</v>
      </c>
    </row>
    <row r="12" spans="1:8" x14ac:dyDescent="0.25">
      <c r="A12" s="1" t="s">
        <v>370</v>
      </c>
      <c r="B12" s="4" t="s">
        <v>371</v>
      </c>
      <c r="C12" s="1" t="s">
        <v>91</v>
      </c>
      <c r="D12" s="1" t="s">
        <v>353</v>
      </c>
      <c r="E12" s="1" t="s">
        <v>91</v>
      </c>
      <c r="F12" s="1" t="b">
        <f>FALSE()</f>
        <v>0</v>
      </c>
    </row>
    <row r="13" spans="1:8" x14ac:dyDescent="0.25">
      <c r="A13" s="1" t="s">
        <v>372</v>
      </c>
      <c r="B13" s="4" t="s">
        <v>373</v>
      </c>
      <c r="C13" s="1" t="s">
        <v>91</v>
      </c>
      <c r="D13" s="1" t="s">
        <v>353</v>
      </c>
      <c r="E13" s="1" t="s">
        <v>91</v>
      </c>
      <c r="F13" s="1" t="b">
        <f>FALSE()</f>
        <v>0</v>
      </c>
    </row>
    <row r="14" spans="1:8" x14ac:dyDescent="0.25">
      <c r="A14" s="1" t="s">
        <v>374</v>
      </c>
      <c r="B14" s="4" t="s">
        <v>375</v>
      </c>
      <c r="C14" s="1" t="s">
        <v>91</v>
      </c>
      <c r="D14" s="1" t="s">
        <v>353</v>
      </c>
      <c r="E14" s="1" t="s">
        <v>91</v>
      </c>
      <c r="F14" s="1" t="b">
        <f>FALSE()</f>
        <v>0</v>
      </c>
    </row>
    <row r="15" spans="1:8" x14ac:dyDescent="0.25">
      <c r="A15" s="1" t="s">
        <v>376</v>
      </c>
      <c r="B15" s="4" t="s">
        <v>377</v>
      </c>
      <c r="C15" s="1" t="s">
        <v>91</v>
      </c>
      <c r="D15" s="1" t="s">
        <v>353</v>
      </c>
      <c r="E15" s="1" t="s">
        <v>91</v>
      </c>
      <c r="F15" s="1" t="b">
        <f>FALSE()</f>
        <v>0</v>
      </c>
    </row>
    <row r="16" spans="1:8" x14ac:dyDescent="0.25">
      <c r="A16" s="1" t="s">
        <v>378</v>
      </c>
      <c r="B16" s="1" t="s">
        <v>379</v>
      </c>
      <c r="C16" s="1" t="s">
        <v>328</v>
      </c>
      <c r="D16" s="1" t="s">
        <v>353</v>
      </c>
      <c r="E16" s="1" t="s">
        <v>328</v>
      </c>
      <c r="F16" s="1" t="b">
        <f>FALSE()</f>
        <v>0</v>
      </c>
    </row>
    <row r="17" spans="1:6" x14ac:dyDescent="0.25">
      <c r="A17" s="1" t="s">
        <v>380</v>
      </c>
      <c r="B17" s="1" t="s">
        <v>381</v>
      </c>
      <c r="C17" s="1" t="s">
        <v>328</v>
      </c>
      <c r="D17" s="1" t="s">
        <v>353</v>
      </c>
      <c r="E17" s="1" t="s">
        <v>328</v>
      </c>
      <c r="F17" s="1" t="b">
        <f>FALSE()</f>
        <v>0</v>
      </c>
    </row>
    <row r="18" spans="1:6" x14ac:dyDescent="0.25">
      <c r="A18" s="1" t="s">
        <v>382</v>
      </c>
      <c r="B18" s="1" t="s">
        <v>381</v>
      </c>
      <c r="C18" s="1" t="s">
        <v>328</v>
      </c>
      <c r="D18" s="1" t="s">
        <v>353</v>
      </c>
      <c r="E18" s="1" t="s">
        <v>328</v>
      </c>
      <c r="F18" s="1" t="b">
        <f>FALSE()</f>
        <v>0</v>
      </c>
    </row>
    <row r="19" spans="1:6" x14ac:dyDescent="0.25">
      <c r="A19" s="1" t="s">
        <v>47</v>
      </c>
      <c r="B19" s="4" t="s">
        <v>383</v>
      </c>
      <c r="C19" s="1" t="s">
        <v>47</v>
      </c>
      <c r="D19" s="1" t="s">
        <v>353</v>
      </c>
      <c r="E19" s="1" t="s">
        <v>47</v>
      </c>
      <c r="F19" s="1" t="b">
        <f>FALSE()</f>
        <v>0</v>
      </c>
    </row>
    <row r="20" spans="1:6" x14ac:dyDescent="0.25">
      <c r="A20" s="1" t="s">
        <v>384</v>
      </c>
      <c r="B20" s="4" t="s">
        <v>385</v>
      </c>
      <c r="C20" s="1" t="s">
        <v>181</v>
      </c>
      <c r="D20" s="1" t="s">
        <v>353</v>
      </c>
      <c r="E20" s="1" t="s">
        <v>181</v>
      </c>
      <c r="F20" s="1" t="b">
        <f>FALSE()</f>
        <v>0</v>
      </c>
    </row>
    <row r="21" spans="1:6" x14ac:dyDescent="0.25">
      <c r="A21" s="1" t="s">
        <v>386</v>
      </c>
      <c r="B21" s="4" t="s">
        <v>387</v>
      </c>
      <c r="C21" s="1" t="s">
        <v>181</v>
      </c>
      <c r="D21" s="1" t="s">
        <v>353</v>
      </c>
      <c r="E21" s="1" t="s">
        <v>181</v>
      </c>
      <c r="F21" s="1" t="b">
        <f>FALSE()</f>
        <v>0</v>
      </c>
    </row>
    <row r="22" spans="1:6" x14ac:dyDescent="0.25">
      <c r="A22" s="1" t="s">
        <v>388</v>
      </c>
      <c r="B22" s="4" t="s">
        <v>389</v>
      </c>
      <c r="C22" s="1" t="s">
        <v>181</v>
      </c>
      <c r="D22" s="1" t="s">
        <v>353</v>
      </c>
      <c r="E22" s="1" t="s">
        <v>181</v>
      </c>
      <c r="F22" s="1" t="b">
        <f>FALSE()</f>
        <v>0</v>
      </c>
    </row>
    <row r="23" spans="1:6" x14ac:dyDescent="0.25">
      <c r="A23" s="1" t="s">
        <v>390</v>
      </c>
      <c r="B23" s="4" t="s">
        <v>391</v>
      </c>
      <c r="C23" s="1" t="s">
        <v>181</v>
      </c>
      <c r="D23" s="1" t="s">
        <v>353</v>
      </c>
      <c r="E23" s="1" t="s">
        <v>181</v>
      </c>
      <c r="F23" s="1" t="b">
        <f>FALSE()</f>
        <v>0</v>
      </c>
    </row>
    <row r="24" spans="1:6" x14ac:dyDescent="0.25">
      <c r="A24" s="1" t="s">
        <v>392</v>
      </c>
      <c r="B24" s="4" t="s">
        <v>393</v>
      </c>
      <c r="C24" s="1" t="s">
        <v>394</v>
      </c>
      <c r="D24" s="1" t="s">
        <v>353</v>
      </c>
      <c r="E24" s="1" t="s">
        <v>394</v>
      </c>
      <c r="F24" s="1" t="b">
        <f>FALSE()</f>
        <v>0</v>
      </c>
    </row>
    <row r="25" spans="1:6" x14ac:dyDescent="0.25">
      <c r="A25" s="1" t="s">
        <v>395</v>
      </c>
      <c r="B25" s="4" t="s">
        <v>396</v>
      </c>
      <c r="C25" s="1" t="s">
        <v>394</v>
      </c>
      <c r="D25" s="1" t="s">
        <v>353</v>
      </c>
      <c r="E25" s="1" t="s">
        <v>394</v>
      </c>
      <c r="F25" s="1" t="b">
        <f>FALSE()</f>
        <v>0</v>
      </c>
    </row>
    <row r="26" spans="1:6" x14ac:dyDescent="0.25">
      <c r="A26" s="1" t="s">
        <v>397</v>
      </c>
      <c r="B26" s="4" t="s">
        <v>398</v>
      </c>
      <c r="C26" s="1" t="s">
        <v>394</v>
      </c>
      <c r="D26" s="1" t="s">
        <v>353</v>
      </c>
      <c r="E26" s="1" t="s">
        <v>394</v>
      </c>
      <c r="F26" s="1" t="b">
        <f>FALSE()</f>
        <v>0</v>
      </c>
    </row>
    <row r="27" spans="1:6" x14ac:dyDescent="0.25">
      <c r="A27" s="1" t="s">
        <v>399</v>
      </c>
      <c r="B27" s="4" t="s">
        <v>400</v>
      </c>
      <c r="C27" s="1" t="s">
        <v>401</v>
      </c>
      <c r="D27" s="1" t="s">
        <v>353</v>
      </c>
      <c r="E27" s="1" t="s">
        <v>401</v>
      </c>
      <c r="F27" s="1" t="b">
        <f>FALSE()</f>
        <v>0</v>
      </c>
    </row>
    <row r="28" spans="1:6" x14ac:dyDescent="0.25">
      <c r="A28" s="1" t="s">
        <v>402</v>
      </c>
      <c r="B28" s="4" t="s">
        <v>403</v>
      </c>
      <c r="C28" s="1" t="s">
        <v>401</v>
      </c>
      <c r="D28" s="1" t="s">
        <v>353</v>
      </c>
      <c r="E28" s="1" t="s">
        <v>401</v>
      </c>
      <c r="F28" s="1" t="b">
        <f>FALSE()</f>
        <v>0</v>
      </c>
    </row>
    <row r="29" spans="1:6" x14ac:dyDescent="0.25">
      <c r="A29" s="1" t="s">
        <v>404</v>
      </c>
      <c r="B29" s="4" t="s">
        <v>405</v>
      </c>
      <c r="C29" s="1" t="s">
        <v>401</v>
      </c>
      <c r="D29" s="1" t="s">
        <v>353</v>
      </c>
      <c r="E29" s="1" t="s">
        <v>401</v>
      </c>
      <c r="F29" s="1" t="b">
        <f>FALSE()</f>
        <v>0</v>
      </c>
    </row>
    <row r="30" spans="1:6" x14ac:dyDescent="0.25">
      <c r="A30" s="1" t="s">
        <v>406</v>
      </c>
      <c r="B30" s="4" t="s">
        <v>407</v>
      </c>
      <c r="C30" s="1" t="s">
        <v>401</v>
      </c>
      <c r="D30" s="1" t="s">
        <v>353</v>
      </c>
      <c r="E30" s="1" t="s">
        <v>401</v>
      </c>
      <c r="F30" s="1" t="b">
        <f>FALSE()</f>
        <v>0</v>
      </c>
    </row>
    <row r="31" spans="1:6" x14ac:dyDescent="0.25">
      <c r="A31" s="1" t="s">
        <v>408</v>
      </c>
      <c r="B31" s="4" t="s">
        <v>409</v>
      </c>
      <c r="C31" s="1" t="s">
        <v>410</v>
      </c>
      <c r="D31" s="1" t="s">
        <v>353</v>
      </c>
      <c r="E31" s="1" t="s">
        <v>410</v>
      </c>
      <c r="F31" s="1" t="b">
        <f>FALSE()</f>
        <v>0</v>
      </c>
    </row>
    <row r="32" spans="1:6" x14ac:dyDescent="0.25">
      <c r="A32" s="1" t="s">
        <v>411</v>
      </c>
      <c r="B32" s="4" t="s">
        <v>412</v>
      </c>
      <c r="C32" s="1" t="s">
        <v>87</v>
      </c>
      <c r="D32" s="1" t="s">
        <v>353</v>
      </c>
      <c r="E32" s="1" t="s">
        <v>87</v>
      </c>
      <c r="F32" s="1" t="b">
        <f>FALSE()</f>
        <v>0</v>
      </c>
    </row>
    <row r="33" spans="1:6" x14ac:dyDescent="0.25">
      <c r="A33" s="1" t="s">
        <v>413</v>
      </c>
      <c r="B33" s="1" t="s">
        <v>414</v>
      </c>
      <c r="C33" s="1" t="s">
        <v>87</v>
      </c>
      <c r="D33" s="1" t="s">
        <v>353</v>
      </c>
      <c r="E33" s="1" t="s">
        <v>87</v>
      </c>
      <c r="F33" s="1" t="b">
        <f>FALSE()</f>
        <v>0</v>
      </c>
    </row>
    <row r="34" spans="1:6" x14ac:dyDescent="0.25">
      <c r="A34" s="1" t="s">
        <v>415</v>
      </c>
      <c r="B34" s="1" t="s">
        <v>416</v>
      </c>
      <c r="C34" s="1" t="s">
        <v>87</v>
      </c>
      <c r="D34" s="1" t="s">
        <v>353</v>
      </c>
      <c r="E34" s="1" t="s">
        <v>87</v>
      </c>
      <c r="F34" s="1" t="b">
        <f>FALSE()</f>
        <v>0</v>
      </c>
    </row>
    <row r="35" spans="1:6" x14ac:dyDescent="0.25">
      <c r="A35" s="1" t="s">
        <v>417</v>
      </c>
      <c r="B35" s="1" t="s">
        <v>418</v>
      </c>
      <c r="C35" s="1" t="s">
        <v>87</v>
      </c>
      <c r="D35" s="1" t="s">
        <v>353</v>
      </c>
      <c r="E35" s="1" t="s">
        <v>87</v>
      </c>
      <c r="F35" s="1" t="b">
        <f>FALSE()</f>
        <v>0</v>
      </c>
    </row>
    <row r="36" spans="1:6" x14ac:dyDescent="0.25">
      <c r="A36" s="1" t="s">
        <v>419</v>
      </c>
      <c r="B36" s="1" t="s">
        <v>420</v>
      </c>
      <c r="C36" s="1" t="s">
        <v>87</v>
      </c>
      <c r="D36" s="1" t="s">
        <v>353</v>
      </c>
      <c r="E36" s="1" t="s">
        <v>87</v>
      </c>
      <c r="F36" s="1" t="b">
        <f>FALSE()</f>
        <v>0</v>
      </c>
    </row>
    <row r="37" spans="1:6" x14ac:dyDescent="0.25">
      <c r="A37" s="1" t="s">
        <v>421</v>
      </c>
      <c r="B37" s="1" t="s">
        <v>422</v>
      </c>
      <c r="C37" s="1" t="s">
        <v>87</v>
      </c>
      <c r="D37" s="1" t="s">
        <v>353</v>
      </c>
      <c r="E37" s="1" t="s">
        <v>87</v>
      </c>
      <c r="F37" s="1" t="b">
        <f>FALSE()</f>
        <v>0</v>
      </c>
    </row>
    <row r="38" spans="1:6" x14ac:dyDescent="0.25">
      <c r="A38" s="1" t="s">
        <v>423</v>
      </c>
      <c r="B38" s="1" t="s">
        <v>424</v>
      </c>
      <c r="C38" s="1" t="s">
        <v>87</v>
      </c>
      <c r="D38" s="1" t="s">
        <v>353</v>
      </c>
      <c r="E38" s="1" t="s">
        <v>87</v>
      </c>
      <c r="F38" s="1" t="b">
        <f>FALSE()</f>
        <v>0</v>
      </c>
    </row>
    <row r="39" spans="1:6" x14ac:dyDescent="0.25">
      <c r="A39" s="1" t="s">
        <v>425</v>
      </c>
      <c r="B39" s="1" t="s">
        <v>426</v>
      </c>
      <c r="C39" s="1" t="s">
        <v>87</v>
      </c>
      <c r="D39" s="1" t="s">
        <v>353</v>
      </c>
      <c r="E39" s="1" t="s">
        <v>87</v>
      </c>
      <c r="F39" s="1" t="b">
        <f>FALSE()</f>
        <v>0</v>
      </c>
    </row>
    <row r="40" spans="1:6" x14ac:dyDescent="0.25">
      <c r="A40" s="1" t="s">
        <v>427</v>
      </c>
      <c r="B40" s="4" t="s">
        <v>428</v>
      </c>
      <c r="C40" s="1" t="s">
        <v>87</v>
      </c>
      <c r="D40" s="1" t="s">
        <v>353</v>
      </c>
      <c r="E40" s="1" t="s">
        <v>87</v>
      </c>
      <c r="F40" s="1" t="b">
        <f>FALSE()</f>
        <v>0</v>
      </c>
    </row>
    <row r="41" spans="1:6" x14ac:dyDescent="0.25">
      <c r="A41" s="1" t="s">
        <v>429</v>
      </c>
      <c r="B41" s="1" t="s">
        <v>430</v>
      </c>
      <c r="C41" s="1" t="s">
        <v>87</v>
      </c>
      <c r="D41" s="1" t="s">
        <v>353</v>
      </c>
      <c r="E41" s="1" t="s">
        <v>87</v>
      </c>
      <c r="F41" s="1" t="b">
        <f>FALSE()</f>
        <v>0</v>
      </c>
    </row>
    <row r="42" spans="1:6" x14ac:dyDescent="0.25">
      <c r="A42" s="1" t="s">
        <v>431</v>
      </c>
      <c r="B42" s="1" t="s">
        <v>432</v>
      </c>
      <c r="C42" s="1" t="s">
        <v>87</v>
      </c>
      <c r="D42" s="1" t="s">
        <v>353</v>
      </c>
      <c r="E42" s="1" t="s">
        <v>87</v>
      </c>
      <c r="F42" s="1" t="b">
        <f>FALSE()</f>
        <v>0</v>
      </c>
    </row>
    <row r="43" spans="1:6" x14ac:dyDescent="0.25">
      <c r="A43" s="1" t="s">
        <v>57</v>
      </c>
      <c r="B43" s="4" t="s">
        <v>433</v>
      </c>
      <c r="C43" s="1" t="s">
        <v>57</v>
      </c>
      <c r="D43" s="1" t="s">
        <v>353</v>
      </c>
      <c r="E43" s="1" t="s">
        <v>434</v>
      </c>
      <c r="F43" s="1" t="b">
        <f>FALSE()</f>
        <v>0</v>
      </c>
    </row>
    <row r="44" spans="1:6" x14ac:dyDescent="0.25">
      <c r="A44" s="1" t="s">
        <v>435</v>
      </c>
      <c r="B44" s="1" t="s">
        <v>436</v>
      </c>
      <c r="C44" s="1" t="s">
        <v>293</v>
      </c>
      <c r="D44" s="1" t="s">
        <v>353</v>
      </c>
      <c r="E44" s="1" t="s">
        <v>293</v>
      </c>
      <c r="F44" s="1" t="b">
        <f>FALSE()</f>
        <v>0</v>
      </c>
    </row>
    <row r="45" spans="1:6" x14ac:dyDescent="0.25">
      <c r="A45" s="1" t="s">
        <v>437</v>
      </c>
      <c r="B45" s="4" t="s">
        <v>438</v>
      </c>
      <c r="C45" s="1" t="s">
        <v>293</v>
      </c>
      <c r="D45" s="1" t="s">
        <v>353</v>
      </c>
      <c r="E45" s="1" t="s">
        <v>293</v>
      </c>
      <c r="F45" s="1" t="b">
        <f>FALSE()</f>
        <v>0</v>
      </c>
    </row>
    <row r="46" spans="1:6" x14ac:dyDescent="0.25">
      <c r="A46" s="1" t="s">
        <v>439</v>
      </c>
      <c r="B46" s="4" t="s">
        <v>440</v>
      </c>
      <c r="C46" s="1" t="s">
        <v>293</v>
      </c>
      <c r="D46" s="1" t="s">
        <v>353</v>
      </c>
      <c r="E46" s="1" t="s">
        <v>293</v>
      </c>
      <c r="F46" s="1" t="b">
        <f>FALSE()</f>
        <v>0</v>
      </c>
    </row>
    <row r="47" spans="1:6" x14ac:dyDescent="0.25">
      <c r="A47" s="1" t="s">
        <v>441</v>
      </c>
      <c r="B47" s="4" t="s">
        <v>442</v>
      </c>
      <c r="C47" s="1" t="s">
        <v>293</v>
      </c>
      <c r="D47" s="1" t="s">
        <v>353</v>
      </c>
      <c r="E47" s="1" t="s">
        <v>293</v>
      </c>
      <c r="F47" s="1" t="b">
        <f>FALSE()</f>
        <v>0</v>
      </c>
    </row>
    <row r="48" spans="1:6" x14ac:dyDescent="0.25">
      <c r="A48" s="1" t="s">
        <v>443</v>
      </c>
      <c r="B48" s="4" t="s">
        <v>444</v>
      </c>
      <c r="C48" s="1" t="s">
        <v>445</v>
      </c>
      <c r="D48" s="1" t="s">
        <v>353</v>
      </c>
      <c r="E48" s="1" t="s">
        <v>445</v>
      </c>
      <c r="F48" s="1" t="b">
        <f>FALSE()</f>
        <v>0</v>
      </c>
    </row>
    <row r="49" spans="1:6" x14ac:dyDescent="0.25">
      <c r="A49" s="1" t="s">
        <v>446</v>
      </c>
      <c r="B49" s="4" t="s">
        <v>447</v>
      </c>
      <c r="C49" s="1" t="s">
        <v>445</v>
      </c>
      <c r="D49" s="1" t="s">
        <v>353</v>
      </c>
      <c r="E49" s="1" t="s">
        <v>445</v>
      </c>
      <c r="F49" s="1" t="b">
        <f>FALSE()</f>
        <v>0</v>
      </c>
    </row>
    <row r="50" spans="1:6" x14ac:dyDescent="0.25">
      <c r="A50" s="1" t="s">
        <v>448</v>
      </c>
      <c r="B50" s="4" t="s">
        <v>449</v>
      </c>
      <c r="C50" s="1" t="s">
        <v>450</v>
      </c>
      <c r="D50" s="1" t="s">
        <v>353</v>
      </c>
      <c r="E50" s="1" t="s">
        <v>450</v>
      </c>
      <c r="F50" s="1" t="b">
        <f>FALSE()</f>
        <v>0</v>
      </c>
    </row>
    <row r="51" spans="1:6" x14ac:dyDescent="0.25">
      <c r="A51" s="1" t="s">
        <v>451</v>
      </c>
      <c r="B51" s="4" t="s">
        <v>452</v>
      </c>
      <c r="C51" s="1" t="s">
        <v>453</v>
      </c>
      <c r="D51" s="1" t="s">
        <v>353</v>
      </c>
      <c r="E51" s="1" t="s">
        <v>453</v>
      </c>
      <c r="F51" s="1" t="b">
        <f>FALSE()</f>
        <v>0</v>
      </c>
    </row>
    <row r="52" spans="1:6" x14ac:dyDescent="0.25">
      <c r="A52" s="1" t="s">
        <v>454</v>
      </c>
      <c r="B52" s="4" t="s">
        <v>455</v>
      </c>
      <c r="C52" s="1" t="s">
        <v>72</v>
      </c>
      <c r="D52" s="1" t="s">
        <v>353</v>
      </c>
      <c r="E52" s="1" t="s">
        <v>72</v>
      </c>
      <c r="F52" s="1" t="b">
        <f>FALSE()</f>
        <v>0</v>
      </c>
    </row>
  </sheetData>
  <autoFilter ref="A1:H52" xr:uid="{00000000-0001-0000-0800-000000000000}">
    <sortState xmlns:xlrd2="http://schemas.microsoft.com/office/spreadsheetml/2017/richdata2" ref="A2:H52">
      <sortCondition ref="C1:C52"/>
    </sortState>
  </autoFilter>
  <conditionalFormatting sqref="B1">
    <cfRule type="duplicateValues" dxfId="6" priority="2"/>
  </conditionalFormatting>
  <hyperlinks>
    <hyperlink ref="B3" r:id="rId1" display="https://eur01.safelinks.protection.outlook.com/?url=https%3A%2F%2Fwww.site24x7.com%2Fapp%2Fclient%23%2Frum%2Frum%2Fdetails%2F471930000001954033%2FSummary%2FhH%3Flogs%3Dfalse&amp;data=05%7C02%7Chaaja%40vestas.com%7Cffc6dbf340f8417fc9b108ddbf7fdbe2%7Cc07019407b3f4116a59f159078bc3c63%7C0%7C0%7C638877278058504664%7CUnknown%7CTWFpbGZsb3d8eyJFbXB0eU1hcGkiOnRydWUsIlYiOiIwLjAuMDAwMCIsIlAiOiJXaW4zMiIsIkFOIjoiTWFpbCIsIldUIjoyfQ%3D%3D%7C0%7C%7C%7C&amp;sdata=0nUtKxhTek%2Fh27%2FLM4mk7kosjD7BT4mJ2VkXy9PjQLo%3D&amp;reserved=0" xr:uid="{00000000-0004-0000-0800-000000000000}"/>
    <hyperlink ref="B4" r:id="rId2" display="https://vestas-my.sharepoint.com/:x:/r/personal/salau_vestas_com/_layouts/15/Doc.aspx?sourcedoc=%7B0030F2FB-6873-4E20-BEAA-9713ED4BAAA9%7D&amp;file=Rx%20Confluence%20links.xlsx&amp;action=default&amp;mobileredirect=true&amp;CID=7DF36CA1-03BC-4E66-8A07-284D011C9F4C&amp;wdLOR=c37298114-3309-4E82-A5B1-35FEFC8CD98B" xr:uid="{00000000-0004-0000-0800-000001000000}"/>
    <hyperlink ref="B5" r:id="rId3" xr:uid="{00000000-0004-0000-0800-000002000000}"/>
    <hyperlink ref="B6" r:id="rId4" display="https://eur01.safelinks.protection.outlook.com/?url=https%3A%2F%2Futopusinsights.atlassian.net%2Fwiki%2Fspaces%2FPUL%2Fpages%2F2804318646%2FRx%2BProduct%2BOperations%3Fatl_f%3DPAGETREE&amp;data=05%7C02%7Chaaja%40vestas.com%7Cffc6dbf340f8417fc9b108ddbf7fdbe2%7Cc07019407b3f4116a59f159078bc3c63%7C0%7C0%7C638877278058401641%7CUnknown%7CTWFpbGZsb3d8eyJFbXB0eU1hcGkiOnRydWUsIlYiOiIwLjAuMDAwMCIsIlAiOiJXaW4zMiIsIkFOIjoiTWFpbCIsIldUIjoyfQ%3D%3D%7C0%7C%7C%7C&amp;sdata=3L%2BXwYxvwT9VNLyftFc0godVYpL2fhhIMwE0td2yFRo%3D&amp;reserved=0" xr:uid="{00000000-0004-0000-0800-000003000000}"/>
    <hyperlink ref="B7" r:id="rId5" display="https://eur01.safelinks.protection.outlook.com/?url=https%3A%2F%2Futopusinsights.atlassian.net%2Fwiki%2Fspaces%2FPUL%2Fpages%2F3451650049%2FRCA&amp;data=05%7C02%7Chaaja%40vestas.com%7Cffc6dbf340f8417fc9b108ddbf7fdbe2%7Cc07019407b3f4116a59f159078bc3c63%7C0%7C0%7C638877278058519398%7CUnknown%7CTWFpbGZsb3d8eyJFbXB0eU1hcGkiOnRydWUsIlYiOiIwLjAuMDAwMCIsIlAiOiJXaW4zMiIsIkFOIjoiTWFpbCIsIldUIjoyfQ%3D%3D%7C0%7C%7C%7C&amp;sdata=rHQxRC1DIVkSaw2QZB5wIasAEkAxs40PWdnWuwVwZkQ%3D&amp;reserved=0" xr:uid="{00000000-0004-0000-0800-000004000000}"/>
    <hyperlink ref="B8" r:id="rId6" xr:uid="{00000000-0004-0000-0800-000005000000}"/>
    <hyperlink ref="B9" r:id="rId7" xr:uid="{00000000-0004-0000-0800-000006000000}"/>
    <hyperlink ref="B10" r:id="rId8" xr:uid="{00000000-0004-0000-0800-000007000000}"/>
    <hyperlink ref="B11" r:id="rId9" xr:uid="{00000000-0004-0000-0800-000008000000}"/>
    <hyperlink ref="B12" r:id="rId10" xr:uid="{00000000-0004-0000-0800-000009000000}"/>
    <hyperlink ref="B13" r:id="rId11" xr:uid="{00000000-0004-0000-0800-00000A000000}"/>
    <hyperlink ref="B14" r:id="rId12" xr:uid="{00000000-0004-0000-0800-00000B000000}"/>
    <hyperlink ref="B15" r:id="rId13" xr:uid="{00000000-0004-0000-0800-00000C000000}"/>
    <hyperlink ref="B19" r:id="rId14" display="https://eur01.safelinks.protection.outlook.com/?url=https%3A%2F%2Fhyc86517.live.dynatrace.com%2Fui%2Fdashboards%3Fgtf%3D-2h%26gf%3Dall&amp;data=05%7C02%7Chaaja%40vestas.com%7Cffc6dbf340f8417fc9b108ddbf7fdbe2%7Cc07019407b3f4116a59f159078bc3c63%7C0%7C0%7C638877278058487788%7CUnknown%7CTWFpbGZsb3d8eyJFbXB0eU1hcGkiOnRydWUsIlYiOiIwLjAuMDAwMCIsIlAiOiJXaW4zMiIsIkFOIjoiTWFpbCIsIldUIjoyfQ%3D%3D%7C0%7C%7C%7C&amp;sdata=ISi3BXb1AvZ53jfk%2BzztDlV0nOXXBCa9kyjEFT6xO%2B8%3D&amp;reserved=0" xr:uid="{00000000-0004-0000-0800-00000D000000}"/>
    <hyperlink ref="B20" r:id="rId15" xr:uid="{00000000-0004-0000-0800-00000E000000}"/>
    <hyperlink ref="B21" r:id="rId16" xr:uid="{00000000-0004-0000-0800-00000F000000}"/>
    <hyperlink ref="B22" r:id="rId17" xr:uid="{00000000-0004-0000-0800-000010000000}"/>
    <hyperlink ref="B23" r:id="rId18" xr:uid="{00000000-0004-0000-0800-000011000000}"/>
    <hyperlink ref="B24" r:id="rId19" xr:uid="{00000000-0004-0000-0800-000012000000}"/>
    <hyperlink ref="B25" r:id="rId20" xr:uid="{00000000-0004-0000-0800-000013000000}"/>
    <hyperlink ref="B26" r:id="rId21" xr:uid="{00000000-0004-0000-0800-000014000000}"/>
    <hyperlink ref="B27" r:id="rId22" xr:uid="{00000000-0004-0000-0800-000015000000}"/>
    <hyperlink ref="B28" r:id="rId23" xr:uid="{00000000-0004-0000-0800-000016000000}"/>
    <hyperlink ref="B29" r:id="rId24" xr:uid="{00000000-0004-0000-0800-000017000000}"/>
    <hyperlink ref="B30" r:id="rId25" xr:uid="{00000000-0004-0000-0800-000018000000}"/>
    <hyperlink ref="B31" r:id="rId26" xr:uid="{00000000-0004-0000-0800-000019000000}"/>
    <hyperlink ref="B32" r:id="rId27" display="https://eur01.safelinks.protection.outlook.com/?url=https%3A%2F%2Fapp.powerbi.com%2Fgroups%2F02abe290-5d39-4950-82f4-831cdb9e2b0b%2Freports%2Fd50b88e3-7e6b-4cbe-a9fd-19830934e90f%2Fd7622c277bcd400e06bd%3Fexperience%3Dpower-bi&amp;data=05%7C02%7Chaaja%40vestas.com%7Cffc6dbf340f8417fc9b108ddbf7fdbe2%7Cc07019407b3f4116a59f159078bc3c63%7C0%7C0%7C638877278058077258%7CUnknown%7CTWFpbGZsb3d8eyJFbXB0eU1hcGkiOnRydWUsIlYiOiIwLjAuMDAwMCIsIlAiOiJXaW4zMiIsIkFOIjoiTWFpbCIsIldUIjoyfQ%3D%3D%7C0%7C%7C%7C&amp;sdata=SkW7wkqmTJxkqxaye5KcT2qtj0lv9kzHL1fnH98cHqY%3D&amp;reserved=0" xr:uid="{00000000-0004-0000-0800-00001A000000}"/>
    <hyperlink ref="B40" r:id="rId28" xr:uid="{00000000-0004-0000-0800-00001B000000}"/>
    <hyperlink ref="B43" r:id="rId29" display="https://eur01.safelinks.protection.outlook.com/?url=https%3A%2F%2Futopusinsights.lightning.force.com%2Fone%2Fone.app%23eyJjb21wb25lbnREZWYiOiJkZXNrdG9wRGFzaGJvYXJkczpkYXNoYm9hcmQiLCJhdHRyaWJ1dGVzIjp7ImRhc2hib2FyZElkIjoiMDFaN0YwMDAwMDE1aHBaVUFRIiwiZGlzcGxheU1vZGUiOiJlZGl0In0sInN0YXRlIjp7fX0%253D&amp;data=05%7C02%7Chaaja%40vestas.com%7Cffc6dbf340f8417fc9b108ddbf7fdbe2%7Cc07019407b3f4116a59f159078bc3c63%7C0%7C0%7C638877278058609428%7CUnknown%7CTWFpbGZsb3d8eyJFbXB0eU1hcGkiOnRydWUsIlYiOiIwLjAuMDAwMCIsIlAiOiJXaW4zMiIsIkFOIjoiTWFpbCIsIldUIjoyfQ%3D%3D%7C0%7C%7C%7C&amp;sdata=j1PrcunJPBQYJRH8BtkUx6QySf171%2BxHejgYUCDlA5I%3D&amp;reserved=0" xr:uid="{00000000-0004-0000-0800-00001C000000}"/>
    <hyperlink ref="B45" r:id="rId30" xr:uid="{00000000-0004-0000-0800-00001D000000}"/>
    <hyperlink ref="B46" r:id="rId31" xr:uid="{00000000-0004-0000-0800-00001E000000}"/>
    <hyperlink ref="B47" r:id="rId32" xr:uid="{00000000-0004-0000-0800-00001F000000}"/>
    <hyperlink ref="B48" r:id="rId33" xr:uid="{00000000-0004-0000-0800-000020000000}"/>
    <hyperlink ref="B49" r:id="rId34" xr:uid="{00000000-0004-0000-0800-000021000000}"/>
    <hyperlink ref="B50" r:id="rId35" xr:uid="{00000000-0004-0000-0800-000022000000}"/>
    <hyperlink ref="B51" r:id="rId36" display="https://eur01.safelinks.protection.outlook.com/?url=https%3A%2F%2Fvestas.visualstudio.com%2FData%2520Platform%2520Product%2520Area%2F_backlogs%2Fbacklog%2FScipher%2520Platform%2520Engineering%2FStories&amp;data=05%7C02%7Chaaja%40vestas.com%7Cffc6dbf340f8417fc9b108ddbf7fdbe2%7Cc07019407b3f4116a59f159078bc3c63%7C0%7C0%7C638877278058439814%7CUnknown%7CTWFpbGZsb3d8eyJFbXB0eU1hcGkiOnRydWUsIlYiOiIwLjAuMDAwMCIsIlAiOiJXaW4zMiIsIkFOIjoiTWFpbCIsIldUIjoyfQ%3D%3D%7C0%7C%7C%7C&amp;sdata=GaQ3gIpXFPKL8lZFRc71Joorq%2FYww69LCkqrKO5qT%2FQ%3D&amp;reserved=0" xr:uid="{00000000-0004-0000-0800-000023000000}"/>
    <hyperlink ref="B52" r:id="rId37" xr:uid="{00000000-0004-0000-0800-000024000000}"/>
    <hyperlink ref="B2" r:id="rId38" xr:uid="{00000000-0004-0000-0800-000025000000}"/>
  </hyperlinks>
  <pageMargins left="0.7" right="0.7" top="0.75" bottom="0.75" header="0.511811023622047" footer="0.3"/>
  <pageSetup orientation="portrait" horizontalDpi="300" verticalDpi="300"/>
  <headerFooter>
    <oddFooter>&amp;C_x000D_x000D_&amp;1#&amp;"Aptos"&amp;8&amp;K000000 Classification: Confidential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3"/>
  <sheetViews>
    <sheetView zoomScaleNormal="100" workbookViewId="0">
      <selection activeCell="E9" sqref="E9"/>
    </sheetView>
  </sheetViews>
  <sheetFormatPr defaultColWidth="8.7109375" defaultRowHeight="15" customHeight="1" x14ac:dyDescent="0.25"/>
  <cols>
    <col min="1" max="1" width="10.7109375" bestFit="1" customWidth="1"/>
  </cols>
  <sheetData>
    <row r="1" spans="1:8" ht="30" x14ac:dyDescent="0.25">
      <c r="A1" s="2" t="s">
        <v>0</v>
      </c>
      <c r="B1" s="2" t="s">
        <v>1</v>
      </c>
      <c r="C1" s="2" t="s">
        <v>2</v>
      </c>
      <c r="D1" s="2" t="s">
        <v>3</v>
      </c>
      <c r="E1" s="2" t="s">
        <v>4</v>
      </c>
      <c r="F1" s="2" t="s">
        <v>5</v>
      </c>
      <c r="G1" s="2" t="s">
        <v>6</v>
      </c>
      <c r="H1" s="2" t="s">
        <v>7</v>
      </c>
    </row>
    <row r="2" spans="1:8" x14ac:dyDescent="0.25">
      <c r="A2" t="s">
        <v>64</v>
      </c>
      <c r="B2" t="s">
        <v>65</v>
      </c>
      <c r="C2" s="1" t="s">
        <v>61</v>
      </c>
      <c r="E2" t="s">
        <v>456</v>
      </c>
      <c r="F2" t="b">
        <f>FALSE()</f>
        <v>0</v>
      </c>
    </row>
    <row r="3" spans="1:8" x14ac:dyDescent="0.25">
      <c r="A3" t="s">
        <v>66</v>
      </c>
      <c r="B3" t="s">
        <v>67</v>
      </c>
      <c r="C3" s="1" t="s">
        <v>61</v>
      </c>
      <c r="E3" t="s">
        <v>456</v>
      </c>
      <c r="F3" t="b">
        <f>FALSE()</f>
        <v>0</v>
      </c>
    </row>
  </sheetData>
  <conditionalFormatting sqref="B1">
    <cfRule type="duplicateValues" dxfId="5" priority="2"/>
  </conditionalFormatting>
  <pageMargins left="0.7" right="0.7" top="0.75" bottom="0.75" header="0.511811023622047" footer="0.3"/>
  <pageSetup orientation="portrait" horizontalDpi="300" verticalDpi="300"/>
  <headerFooter>
    <oddFooter>&amp;C_x000D_x000D_&amp;1#&amp;"Aptos"&amp;8&amp;K000000 Classification: Confidential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34"/>
  <sheetViews>
    <sheetView zoomScaleNormal="100" workbookViewId="0">
      <selection activeCell="B11" sqref="B11"/>
    </sheetView>
  </sheetViews>
  <sheetFormatPr defaultColWidth="8.7109375" defaultRowHeight="15" customHeight="1" x14ac:dyDescent="0.25"/>
  <cols>
    <col min="1" max="1" width="64.5703125" bestFit="1" customWidth="1"/>
    <col min="2" max="2" width="115.85546875" customWidth="1"/>
    <col min="3" max="3" width="10.85546875" customWidth="1"/>
  </cols>
  <sheetData>
    <row r="1" spans="1:8" ht="30" x14ac:dyDescent="0.25">
      <c r="A1" s="2" t="s">
        <v>0</v>
      </c>
      <c r="B1" s="2" t="s">
        <v>1</v>
      </c>
      <c r="C1" s="2" t="s">
        <v>2</v>
      </c>
      <c r="D1" s="2" t="s">
        <v>3</v>
      </c>
      <c r="E1" s="2" t="s">
        <v>4</v>
      </c>
      <c r="F1" s="2" t="s">
        <v>5</v>
      </c>
      <c r="G1" s="2" t="s">
        <v>6</v>
      </c>
      <c r="H1" s="2" t="s">
        <v>7</v>
      </c>
    </row>
    <row r="2" spans="1:8" x14ac:dyDescent="0.25">
      <c r="A2" s="8" t="s">
        <v>464</v>
      </c>
      <c r="B2" s="8" t="s">
        <v>102</v>
      </c>
      <c r="C2" t="s">
        <v>38</v>
      </c>
      <c r="D2" t="s">
        <v>24</v>
      </c>
      <c r="E2" t="s">
        <v>38</v>
      </c>
      <c r="F2" t="b">
        <f>FALSE()</f>
        <v>0</v>
      </c>
    </row>
    <row r="3" spans="1:8" x14ac:dyDescent="0.25">
      <c r="A3" s="8" t="s">
        <v>465</v>
      </c>
      <c r="B3" s="8" t="s">
        <v>466</v>
      </c>
      <c r="C3" t="s">
        <v>38</v>
      </c>
      <c r="D3" t="s">
        <v>24</v>
      </c>
      <c r="E3" t="s">
        <v>38</v>
      </c>
      <c r="F3" t="b">
        <f>FALSE()</f>
        <v>0</v>
      </c>
    </row>
    <row r="4" spans="1:8" x14ac:dyDescent="0.25">
      <c r="A4" s="8" t="s">
        <v>462</v>
      </c>
      <c r="B4" s="8" t="s">
        <v>463</v>
      </c>
      <c r="C4" t="s">
        <v>38</v>
      </c>
      <c r="D4" t="s">
        <v>24</v>
      </c>
      <c r="E4" t="s">
        <v>38</v>
      </c>
      <c r="F4" t="b">
        <f>FALSE()</f>
        <v>0</v>
      </c>
    </row>
    <row r="5" spans="1:8" x14ac:dyDescent="0.25">
      <c r="A5" s="8" t="s">
        <v>460</v>
      </c>
      <c r="B5" s="8" t="s">
        <v>461</v>
      </c>
      <c r="C5" t="s">
        <v>38</v>
      </c>
      <c r="D5" t="s">
        <v>24</v>
      </c>
      <c r="E5" t="s">
        <v>38</v>
      </c>
      <c r="F5" t="b">
        <f>FALSE()</f>
        <v>0</v>
      </c>
    </row>
    <row r="6" spans="1:8" x14ac:dyDescent="0.25">
      <c r="A6" s="8" t="s">
        <v>503</v>
      </c>
      <c r="B6" s="8" t="s">
        <v>504</v>
      </c>
      <c r="C6" t="s">
        <v>111</v>
      </c>
      <c r="D6" t="s">
        <v>24</v>
      </c>
      <c r="E6" t="s">
        <v>111</v>
      </c>
      <c r="F6" t="b">
        <f>FALSE()</f>
        <v>0</v>
      </c>
    </row>
    <row r="7" spans="1:8" x14ac:dyDescent="0.25">
      <c r="A7" s="8" t="s">
        <v>117</v>
      </c>
      <c r="B7" s="8" t="s">
        <v>118</v>
      </c>
      <c r="C7" t="s">
        <v>111</v>
      </c>
      <c r="D7" t="s">
        <v>24</v>
      </c>
      <c r="E7" t="s">
        <v>111</v>
      </c>
      <c r="F7" t="b">
        <f>FALSE()</f>
        <v>0</v>
      </c>
    </row>
    <row r="8" spans="1:8" x14ac:dyDescent="0.25">
      <c r="A8" s="8" t="s">
        <v>481</v>
      </c>
      <c r="B8" s="8" t="s">
        <v>482</v>
      </c>
      <c r="C8" t="s">
        <v>111</v>
      </c>
      <c r="D8" t="s">
        <v>24</v>
      </c>
      <c r="E8" t="s">
        <v>111</v>
      </c>
      <c r="F8" t="b">
        <f>FALSE()</f>
        <v>0</v>
      </c>
    </row>
    <row r="9" spans="1:8" x14ac:dyDescent="0.25">
      <c r="A9" s="8" t="s">
        <v>477</v>
      </c>
      <c r="B9" s="8" t="s">
        <v>478</v>
      </c>
      <c r="C9" t="s">
        <v>111</v>
      </c>
      <c r="D9" t="s">
        <v>24</v>
      </c>
      <c r="E9" t="s">
        <v>111</v>
      </c>
      <c r="F9" t="b">
        <f>FALSE()</f>
        <v>0</v>
      </c>
    </row>
    <row r="10" spans="1:8" x14ac:dyDescent="0.25">
      <c r="A10" s="8" t="s">
        <v>509</v>
      </c>
      <c r="B10" s="8" t="s">
        <v>510</v>
      </c>
      <c r="C10" t="s">
        <v>111</v>
      </c>
      <c r="D10" t="s">
        <v>24</v>
      </c>
      <c r="E10" t="s">
        <v>111</v>
      </c>
      <c r="F10" t="b">
        <f>FALSE()</f>
        <v>0</v>
      </c>
    </row>
    <row r="11" spans="1:8" x14ac:dyDescent="0.25">
      <c r="A11" s="8" t="s">
        <v>507</v>
      </c>
      <c r="B11" s="8" t="s">
        <v>508</v>
      </c>
      <c r="C11" t="s">
        <v>111</v>
      </c>
      <c r="D11" t="s">
        <v>24</v>
      </c>
      <c r="E11" t="s">
        <v>111</v>
      </c>
      <c r="F11" t="b">
        <f>FALSE()</f>
        <v>0</v>
      </c>
    </row>
    <row r="12" spans="1:8" x14ac:dyDescent="0.25">
      <c r="A12" s="8" t="s">
        <v>479</v>
      </c>
      <c r="B12" s="8" t="s">
        <v>480</v>
      </c>
      <c r="C12" t="s">
        <v>111</v>
      </c>
      <c r="D12" t="s">
        <v>24</v>
      </c>
      <c r="E12" t="s">
        <v>111</v>
      </c>
      <c r="F12" t="b">
        <f>FALSE()</f>
        <v>0</v>
      </c>
    </row>
    <row r="13" spans="1:8" x14ac:dyDescent="0.25">
      <c r="A13" s="8" t="s">
        <v>337</v>
      </c>
      <c r="B13" s="8" t="s">
        <v>338</v>
      </c>
      <c r="C13" t="s">
        <v>111</v>
      </c>
      <c r="D13" t="s">
        <v>24</v>
      </c>
      <c r="E13" t="s">
        <v>111</v>
      </c>
      <c r="F13" t="b">
        <f>FALSE()</f>
        <v>0</v>
      </c>
    </row>
    <row r="14" spans="1:8" x14ac:dyDescent="0.25">
      <c r="A14" s="8" t="s">
        <v>505</v>
      </c>
      <c r="B14" s="8" t="s">
        <v>506</v>
      </c>
      <c r="C14" t="s">
        <v>111</v>
      </c>
      <c r="D14" t="s">
        <v>24</v>
      </c>
      <c r="E14" t="s">
        <v>111</v>
      </c>
      <c r="F14" t="b">
        <f>FALSE()</f>
        <v>0</v>
      </c>
    </row>
    <row r="15" spans="1:8" x14ac:dyDescent="0.25">
      <c r="A15" s="8" t="s">
        <v>467</v>
      </c>
      <c r="B15" s="8" t="s">
        <v>468</v>
      </c>
      <c r="C15" t="s">
        <v>91</v>
      </c>
      <c r="D15" t="s">
        <v>24</v>
      </c>
      <c r="E15" t="s">
        <v>91</v>
      </c>
      <c r="F15" t="b">
        <f>FALSE()</f>
        <v>0</v>
      </c>
    </row>
    <row r="16" spans="1:8" x14ac:dyDescent="0.25">
      <c r="A16" s="8" t="s">
        <v>469</v>
      </c>
      <c r="B16" s="8" t="s">
        <v>470</v>
      </c>
      <c r="C16" t="s">
        <v>91</v>
      </c>
      <c r="D16" t="s">
        <v>24</v>
      </c>
      <c r="E16" t="s">
        <v>91</v>
      </c>
      <c r="F16" t="b">
        <f>FALSE()</f>
        <v>0</v>
      </c>
    </row>
    <row r="17" spans="1:6" x14ac:dyDescent="0.25">
      <c r="A17" s="8" t="s">
        <v>344</v>
      </c>
      <c r="B17" s="8" t="s">
        <v>345</v>
      </c>
      <c r="C17" t="s">
        <v>91</v>
      </c>
      <c r="D17" t="s">
        <v>24</v>
      </c>
      <c r="E17" t="s">
        <v>91</v>
      </c>
      <c r="F17" t="b">
        <f>FALSE()</f>
        <v>0</v>
      </c>
    </row>
    <row r="18" spans="1:6" x14ac:dyDescent="0.25">
      <c r="A18" s="8" t="s">
        <v>489</v>
      </c>
      <c r="B18" s="8" t="s">
        <v>490</v>
      </c>
      <c r="C18" t="s">
        <v>91</v>
      </c>
      <c r="D18" t="s">
        <v>24</v>
      </c>
      <c r="E18" t="s">
        <v>91</v>
      </c>
      <c r="F18" t="b">
        <f>FALSE()</f>
        <v>0</v>
      </c>
    </row>
    <row r="19" spans="1:6" x14ac:dyDescent="0.25">
      <c r="A19" s="8" t="s">
        <v>342</v>
      </c>
      <c r="B19" s="8" t="s">
        <v>343</v>
      </c>
      <c r="C19" t="s">
        <v>91</v>
      </c>
      <c r="D19" t="s">
        <v>24</v>
      </c>
      <c r="E19" t="s">
        <v>91</v>
      </c>
      <c r="F19" t="b">
        <f>FALSE()</f>
        <v>0</v>
      </c>
    </row>
    <row r="20" spans="1:6" x14ac:dyDescent="0.25">
      <c r="A20" s="8" t="s">
        <v>339</v>
      </c>
      <c r="B20" s="8" t="s">
        <v>340</v>
      </c>
      <c r="C20" t="s">
        <v>91</v>
      </c>
      <c r="D20" t="s">
        <v>24</v>
      </c>
      <c r="E20" t="s">
        <v>91</v>
      </c>
      <c r="F20" t="b">
        <f>FALSE()</f>
        <v>0</v>
      </c>
    </row>
    <row r="21" spans="1:6" x14ac:dyDescent="0.25">
      <c r="A21" s="8" t="s">
        <v>491</v>
      </c>
      <c r="B21" s="8" t="s">
        <v>492</v>
      </c>
      <c r="C21" t="s">
        <v>91</v>
      </c>
      <c r="D21" t="s">
        <v>24</v>
      </c>
      <c r="E21" t="s">
        <v>91</v>
      </c>
      <c r="F21" t="b">
        <f>FALSE()</f>
        <v>0</v>
      </c>
    </row>
    <row r="22" spans="1:6" x14ac:dyDescent="0.25">
      <c r="A22" s="8" t="s">
        <v>485</v>
      </c>
      <c r="B22" s="8" t="s">
        <v>486</v>
      </c>
      <c r="C22" t="s">
        <v>91</v>
      </c>
      <c r="D22" t="s">
        <v>24</v>
      </c>
      <c r="E22" t="s">
        <v>91</v>
      </c>
      <c r="F22" t="b">
        <f>FALSE()</f>
        <v>0</v>
      </c>
    </row>
    <row r="23" spans="1:6" x14ac:dyDescent="0.25">
      <c r="A23" s="8" t="s">
        <v>493</v>
      </c>
      <c r="B23" s="8" t="s">
        <v>494</v>
      </c>
      <c r="C23" t="s">
        <v>91</v>
      </c>
      <c r="D23" t="s">
        <v>24</v>
      </c>
      <c r="E23" t="s">
        <v>91</v>
      </c>
      <c r="F23" t="b">
        <f>FALSE()</f>
        <v>0</v>
      </c>
    </row>
    <row r="24" spans="1:6" x14ac:dyDescent="0.25">
      <c r="A24" s="8" t="s">
        <v>487</v>
      </c>
      <c r="B24" s="8" t="s">
        <v>488</v>
      </c>
      <c r="C24" t="s">
        <v>91</v>
      </c>
      <c r="D24" t="s">
        <v>24</v>
      </c>
      <c r="E24" t="s">
        <v>91</v>
      </c>
      <c r="F24" t="b">
        <f>FALSE()</f>
        <v>0</v>
      </c>
    </row>
    <row r="25" spans="1:6" x14ac:dyDescent="0.25">
      <c r="A25" s="8" t="s">
        <v>348</v>
      </c>
      <c r="B25" s="8" t="s">
        <v>349</v>
      </c>
      <c r="C25" t="s">
        <v>91</v>
      </c>
      <c r="D25" t="s">
        <v>24</v>
      </c>
      <c r="E25" t="s">
        <v>91</v>
      </c>
      <c r="F25" t="b">
        <f>FALSE()</f>
        <v>0</v>
      </c>
    </row>
    <row r="26" spans="1:6" x14ac:dyDescent="0.25">
      <c r="A26" s="8" t="s">
        <v>484</v>
      </c>
      <c r="B26" s="8" t="s">
        <v>483</v>
      </c>
      <c r="C26" t="s">
        <v>91</v>
      </c>
      <c r="D26" t="s">
        <v>24</v>
      </c>
      <c r="E26" t="s">
        <v>91</v>
      </c>
      <c r="F26" t="b">
        <f>FALSE()</f>
        <v>0</v>
      </c>
    </row>
    <row r="27" spans="1:6" x14ac:dyDescent="0.25">
      <c r="A27" s="8" t="s">
        <v>495</v>
      </c>
      <c r="B27" s="8" t="s">
        <v>496</v>
      </c>
      <c r="C27" t="s">
        <v>91</v>
      </c>
      <c r="D27" t="s">
        <v>24</v>
      </c>
      <c r="E27" t="s">
        <v>91</v>
      </c>
      <c r="F27" t="b">
        <f>FALSE()</f>
        <v>0</v>
      </c>
    </row>
    <row r="28" spans="1:6" x14ac:dyDescent="0.25">
      <c r="A28" s="8" t="s">
        <v>346</v>
      </c>
      <c r="B28" s="8" t="s">
        <v>347</v>
      </c>
      <c r="C28" t="s">
        <v>91</v>
      </c>
      <c r="D28" t="s">
        <v>24</v>
      </c>
      <c r="E28" t="s">
        <v>91</v>
      </c>
      <c r="F28" t="b">
        <f>FALSE()</f>
        <v>0</v>
      </c>
    </row>
    <row r="29" spans="1:6" x14ac:dyDescent="0.25">
      <c r="A29" s="8" t="s">
        <v>497</v>
      </c>
      <c r="B29" s="8" t="s">
        <v>498</v>
      </c>
      <c r="C29" t="s">
        <v>181</v>
      </c>
      <c r="D29" t="s">
        <v>24</v>
      </c>
      <c r="E29" t="s">
        <v>181</v>
      </c>
      <c r="F29" t="b">
        <f>FALSE()</f>
        <v>0</v>
      </c>
    </row>
    <row r="30" spans="1:6" x14ac:dyDescent="0.25">
      <c r="A30" s="8" t="s">
        <v>499</v>
      </c>
      <c r="B30" s="8" t="s">
        <v>500</v>
      </c>
      <c r="C30" t="s">
        <v>181</v>
      </c>
      <c r="D30" t="s">
        <v>24</v>
      </c>
      <c r="E30" t="s">
        <v>181</v>
      </c>
      <c r="F30" t="b">
        <f>FALSE()</f>
        <v>0</v>
      </c>
    </row>
    <row r="31" spans="1:6" x14ac:dyDescent="0.25">
      <c r="A31" s="8" t="s">
        <v>475</v>
      </c>
      <c r="B31" s="8" t="s">
        <v>476</v>
      </c>
      <c r="C31" t="s">
        <v>72</v>
      </c>
      <c r="D31" t="s">
        <v>24</v>
      </c>
      <c r="E31" t="s">
        <v>72</v>
      </c>
      <c r="F31" t="b">
        <f>FALSE()</f>
        <v>0</v>
      </c>
    </row>
    <row r="32" spans="1:6" x14ac:dyDescent="0.25">
      <c r="A32" s="8" t="s">
        <v>473</v>
      </c>
      <c r="B32" s="8" t="s">
        <v>474</v>
      </c>
      <c r="C32" t="s">
        <v>72</v>
      </c>
      <c r="D32" t="s">
        <v>24</v>
      </c>
      <c r="E32" t="s">
        <v>72</v>
      </c>
      <c r="F32" t="b">
        <f>FALSE()</f>
        <v>0</v>
      </c>
    </row>
    <row r="33" spans="1:6" x14ac:dyDescent="0.25">
      <c r="A33" s="8" t="s">
        <v>501</v>
      </c>
      <c r="B33" s="8" t="s">
        <v>502</v>
      </c>
      <c r="C33" t="s">
        <v>72</v>
      </c>
      <c r="D33" t="s">
        <v>24</v>
      </c>
      <c r="E33" t="s">
        <v>72</v>
      </c>
      <c r="F33" t="b">
        <f>FALSE()</f>
        <v>0</v>
      </c>
    </row>
    <row r="34" spans="1:6" x14ac:dyDescent="0.25">
      <c r="A34" s="8" t="s">
        <v>471</v>
      </c>
      <c r="B34" s="8" t="s">
        <v>472</v>
      </c>
      <c r="C34" t="s">
        <v>72</v>
      </c>
      <c r="D34" t="s">
        <v>24</v>
      </c>
      <c r="E34" t="s">
        <v>72</v>
      </c>
      <c r="F34" t="b">
        <f>FALSE()</f>
        <v>0</v>
      </c>
    </row>
  </sheetData>
  <autoFilter ref="A1:H34" xr:uid="{00000000-0001-0000-0B00-000000000000}">
    <sortState xmlns:xlrd2="http://schemas.microsoft.com/office/spreadsheetml/2017/richdata2" ref="A2:H34">
      <sortCondition ref="C1:C34"/>
    </sortState>
  </autoFilter>
  <conditionalFormatting sqref="B1">
    <cfRule type="duplicateValues" dxfId="4" priority="3"/>
  </conditionalFormatting>
  <conditionalFormatting sqref="B1:B1048576">
    <cfRule type="duplicateValues" dxfId="3" priority="1"/>
  </conditionalFormatting>
  <pageMargins left="0.7" right="0.7" top="0.75" bottom="0.75" header="0.511811023622047" footer="0.511811023622047"/>
  <pageSetup orientation="portrait" horizontalDpi="300" verticalDpi="300"/>
  <headerFooter>
    <oddFooter>&amp;C_x000D_&amp;1#&amp;"Aptos"&amp;8&amp;K000000 Classification: Confidential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3"/>
  <sheetViews>
    <sheetView zoomScaleNormal="100" workbookViewId="0">
      <selection activeCell="A3" sqref="A3"/>
    </sheetView>
  </sheetViews>
  <sheetFormatPr defaultColWidth="8.7109375" defaultRowHeight="15" customHeight="1" x14ac:dyDescent="0.25"/>
  <cols>
    <col min="1" max="1" width="16.85546875" bestFit="1" customWidth="1"/>
    <col min="2" max="2" width="74.5703125" customWidth="1"/>
    <col min="3" max="3" width="4.7109375" customWidth="1"/>
    <col min="4" max="4" width="5.85546875" customWidth="1"/>
    <col min="5" max="5" width="8.5703125" customWidth="1"/>
  </cols>
  <sheetData>
    <row r="1" spans="1:8" ht="30" x14ac:dyDescent="0.25">
      <c r="A1" s="2" t="s">
        <v>0</v>
      </c>
      <c r="B1" s="2" t="s">
        <v>1</v>
      </c>
      <c r="C1" s="2" t="s">
        <v>2</v>
      </c>
      <c r="D1" s="2" t="s">
        <v>3</v>
      </c>
      <c r="E1" s="2" t="s">
        <v>4</v>
      </c>
      <c r="F1" s="2" t="s">
        <v>5</v>
      </c>
      <c r="G1" s="2" t="s">
        <v>6</v>
      </c>
      <c r="H1" s="2" t="s">
        <v>7</v>
      </c>
    </row>
    <row r="2" spans="1:8" x14ac:dyDescent="0.25">
      <c r="A2" t="s">
        <v>539</v>
      </c>
      <c r="B2" s="5" t="s">
        <v>457</v>
      </c>
      <c r="C2" t="s">
        <v>458</v>
      </c>
      <c r="D2" t="s">
        <v>459</v>
      </c>
      <c r="F2" t="b">
        <f>FALSE()</f>
        <v>0</v>
      </c>
    </row>
    <row r="3" spans="1:8" x14ac:dyDescent="0.25">
      <c r="A3" t="s">
        <v>538</v>
      </c>
      <c r="B3" s="12" t="s">
        <v>521</v>
      </c>
      <c r="C3" t="s">
        <v>537</v>
      </c>
      <c r="D3" t="s">
        <v>21</v>
      </c>
      <c r="E3" t="s">
        <v>21</v>
      </c>
      <c r="F3" t="b">
        <f>FALSE()</f>
        <v>0</v>
      </c>
    </row>
  </sheetData>
  <conditionalFormatting sqref="B1">
    <cfRule type="duplicateValues" dxfId="2" priority="2"/>
  </conditionalFormatting>
  <hyperlinks>
    <hyperlink ref="B2" r:id="rId1" location="/scorecard/scipher.io/company-overview" xr:uid="{00000000-0004-0000-0A00-000000000000}"/>
    <hyperlink ref="B3" r:id="rId2" xr:uid="{52C45A25-25D6-421E-BAA3-A85A5C856CB5}"/>
  </hyperlinks>
  <pageMargins left="0.7" right="0.7" top="0.75" bottom="0.75" header="0.511811023622047" footer="0.3"/>
  <pageSetup orientation="portrait" horizontalDpi="300" verticalDpi="300"/>
  <headerFooter>
    <oddFooter>&amp;C_x000D_x000D_&amp;1#&amp;"Aptos"&amp;8&amp;K000000 Classification: Confidential</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AB60C-F3D4-4007-BD08-0BF250147B48}">
  <dimension ref="A1:AD19"/>
  <sheetViews>
    <sheetView workbookViewId="0">
      <selection activeCell="B16" sqref="B16"/>
    </sheetView>
  </sheetViews>
  <sheetFormatPr defaultRowHeight="15" x14ac:dyDescent="0.25"/>
  <cols>
    <col min="1" max="1" width="54.28515625" bestFit="1" customWidth="1"/>
    <col min="2" max="2" width="88.42578125" bestFit="1" customWidth="1"/>
    <col min="3" max="3" width="10.85546875" bestFit="1" customWidth="1"/>
    <col min="4" max="4" width="5.85546875" bestFit="1" customWidth="1"/>
    <col min="5" max="5" width="10.85546875" bestFit="1" customWidth="1"/>
    <col min="6" max="6" width="8.85546875" bestFit="1" customWidth="1"/>
    <col min="7" max="7" width="8.28515625" bestFit="1" customWidth="1"/>
    <col min="8" max="8" width="8.7109375" bestFit="1" customWidth="1"/>
    <col min="15" max="15" width="54.28515625" bestFit="1" customWidth="1"/>
    <col min="16" max="16" width="88.42578125" bestFit="1" customWidth="1"/>
  </cols>
  <sheetData>
    <row r="1" spans="1:16" ht="30" x14ac:dyDescent="0.25">
      <c r="A1" s="2" t="s">
        <v>0</v>
      </c>
      <c r="B1" s="2" t="s">
        <v>1</v>
      </c>
      <c r="C1" s="2" t="s">
        <v>2</v>
      </c>
      <c r="D1" s="2" t="s">
        <v>3</v>
      </c>
      <c r="E1" s="2" t="s">
        <v>4</v>
      </c>
      <c r="F1" s="2" t="s">
        <v>5</v>
      </c>
      <c r="G1" s="2" t="s">
        <v>6</v>
      </c>
      <c r="H1" s="2" t="s">
        <v>7</v>
      </c>
    </row>
    <row r="2" spans="1:16" x14ac:dyDescent="0.25">
      <c r="A2" t="s">
        <v>533</v>
      </c>
      <c r="B2" s="12" t="s">
        <v>532</v>
      </c>
      <c r="C2" s="1" t="s">
        <v>111</v>
      </c>
      <c r="D2" t="s">
        <v>517</v>
      </c>
      <c r="E2" s="1" t="s">
        <v>111</v>
      </c>
      <c r="F2" t="b">
        <v>1</v>
      </c>
    </row>
    <row r="3" spans="1:16" x14ac:dyDescent="0.25">
      <c r="A3" t="s">
        <v>534</v>
      </c>
      <c r="B3" s="12" t="s">
        <v>531</v>
      </c>
      <c r="C3" s="1" t="s">
        <v>111</v>
      </c>
      <c r="D3" t="s">
        <v>517</v>
      </c>
      <c r="E3" s="1" t="s">
        <v>111</v>
      </c>
    </row>
    <row r="4" spans="1:16" x14ac:dyDescent="0.25">
      <c r="A4" t="s">
        <v>535</v>
      </c>
      <c r="B4" s="12" t="s">
        <v>530</v>
      </c>
      <c r="C4" s="1" t="s">
        <v>111</v>
      </c>
      <c r="D4" t="s">
        <v>517</v>
      </c>
      <c r="E4" s="1" t="s">
        <v>111</v>
      </c>
    </row>
    <row r="5" spans="1:16" x14ac:dyDescent="0.25">
      <c r="A5" t="s">
        <v>528</v>
      </c>
      <c r="B5" s="12" t="s">
        <v>529</v>
      </c>
      <c r="C5" s="1" t="s">
        <v>12</v>
      </c>
      <c r="D5" t="s">
        <v>517</v>
      </c>
      <c r="E5" s="1" t="s">
        <v>12</v>
      </c>
    </row>
    <row r="6" spans="1:16" x14ac:dyDescent="0.25">
      <c r="A6" t="s">
        <v>536</v>
      </c>
      <c r="B6" s="12" t="s">
        <v>474</v>
      </c>
      <c r="C6" s="1" t="s">
        <v>72</v>
      </c>
      <c r="D6" t="s">
        <v>517</v>
      </c>
      <c r="E6" s="1" t="s">
        <v>72</v>
      </c>
    </row>
    <row r="12" spans="1:16" x14ac:dyDescent="0.25">
      <c r="P12" s="12"/>
    </row>
    <row r="13" spans="1:16" x14ac:dyDescent="0.25">
      <c r="P13" s="12"/>
    </row>
    <row r="14" spans="1:16" x14ac:dyDescent="0.25">
      <c r="P14" s="12"/>
    </row>
    <row r="15" spans="1:16" x14ac:dyDescent="0.25">
      <c r="P15" s="12"/>
    </row>
    <row r="16" spans="1:16" x14ac:dyDescent="0.25">
      <c r="P16" s="12"/>
    </row>
    <row r="19" spans="30:30" x14ac:dyDescent="0.25">
      <c r="AD19" s="12"/>
    </row>
  </sheetData>
  <conditionalFormatting sqref="B1">
    <cfRule type="duplicateValues" dxfId="1" priority="1"/>
  </conditionalFormatting>
  <hyperlinks>
    <hyperlink ref="B5" r:id="rId1" xr:uid="{30926BEC-14A9-4896-BE74-A7341FA394AD}"/>
    <hyperlink ref="B6" r:id="rId2" xr:uid="{8F26BFA4-20AD-498A-AB86-336519C5D8E0}"/>
    <hyperlink ref="B4" r:id="rId3" xr:uid="{E04B224E-798F-4343-9ECB-778EB22AD509}"/>
    <hyperlink ref="B3" r:id="rId4" xr:uid="{103F6861-6BAA-435D-B0EF-BE20BEAC5953}"/>
    <hyperlink ref="B2" r:id="rId5" xr:uid="{A8478AD7-F756-4963-AD29-003E4F21D71E}"/>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
  <sheetViews>
    <sheetView zoomScaleNormal="100" workbookViewId="0">
      <selection activeCell="G1" sqref="G1"/>
    </sheetView>
  </sheetViews>
  <sheetFormatPr defaultColWidth="8.7109375" defaultRowHeight="15" customHeight="1" x14ac:dyDescent="0.25"/>
  <sheetData>
    <row r="1" spans="1:8" ht="30" x14ac:dyDescent="0.25">
      <c r="A1" s="2" t="s">
        <v>0</v>
      </c>
      <c r="B1" s="2" t="s">
        <v>1</v>
      </c>
      <c r="C1" s="2" t="s">
        <v>2</v>
      </c>
      <c r="D1" s="2" t="s">
        <v>3</v>
      </c>
      <c r="E1" s="2" t="s">
        <v>4</v>
      </c>
      <c r="F1" s="2" t="s">
        <v>5</v>
      </c>
      <c r="G1" s="2" t="s">
        <v>6</v>
      </c>
      <c r="H1" s="2" t="s">
        <v>7</v>
      </c>
    </row>
    <row r="2" spans="1:8" x14ac:dyDescent="0.25">
      <c r="A2" t="s">
        <v>79</v>
      </c>
      <c r="B2" t="s">
        <v>80</v>
      </c>
      <c r="C2" t="s">
        <v>80</v>
      </c>
      <c r="F2" t="b">
        <f>FALSE()</f>
        <v>0</v>
      </c>
    </row>
  </sheetData>
  <conditionalFormatting sqref="B1">
    <cfRule type="duplicateValues" dxfId="0" priority="2"/>
  </conditionalFormatting>
  <pageMargins left="0.7" right="0.7" top="0.75" bottom="0.75" header="0.511811023622047" footer="0.3"/>
  <pageSetup orientation="portrait" horizontalDpi="300" verticalDpi="300"/>
  <headerFooter>
    <oddFooter>&amp;C_x000D_x000D_&amp;1#&amp;"Aptos"&amp;8&amp;K000000 Classification: Confidential</oddFooter>
  </headerFooter>
</worksheet>
</file>

<file path=docMetadata/LabelInfo.xml><?xml version="1.0" encoding="utf-8"?>
<clbl:labelList xmlns:clbl="http://schemas.microsoft.com/office/2020/mipLabelMetadata">
  <clbl:label id="{35c15001-c8e1-4e59-97bd-905e2080daab}" enabled="1" method="Standard" siteId="{c0701940-7b3f-4116-a59f-159078bc3c63}" contentBits="2" removed="0"/>
</clbl:labelLis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index</vt:lpstr>
      <vt:lpstr>roc</vt:lpstr>
      <vt:lpstr>apac</vt:lpstr>
      <vt:lpstr>l1_ops</vt:lpstr>
      <vt:lpstr>scipher</vt:lpstr>
      <vt:lpstr>scipher_ops</vt:lpstr>
      <vt:lpstr>scipher_vx</vt:lpstr>
      <vt:lpstr>scipher_fx</vt:lpstr>
      <vt:lpstr>scipher_rx</vt:lpstr>
      <vt:lpstr>scipher_di</vt:lpstr>
      <vt:lpstr>ml-ops</vt:lpstr>
      <vt:lpstr>soc</vt:lpstr>
      <vt:lpstr>csm</vt:lpstr>
      <vt:lpstr>admin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Sudharshan Chandran</dc:creator>
  <dc:description/>
  <cp:lastModifiedBy>Sudharshan Chandran</cp:lastModifiedBy>
  <cp:revision>11</cp:revision>
  <dcterms:created xsi:type="dcterms:W3CDTF">2015-06-05T18:19:34Z</dcterms:created>
  <dcterms:modified xsi:type="dcterms:W3CDTF">2026-03-05T05:15:17Z</dcterms:modified>
  <dc:language>en-US</dc:language>
</cp:coreProperties>
</file>